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olga\Desktop\"/>
    </mc:Choice>
  </mc:AlternateContent>
  <xr:revisionPtr revIDLastSave="0" documentId="13_ncr:1_{1E526809-62CA-480C-A939-0A1888035944}" xr6:coauthVersionLast="37" xr6:coauthVersionMax="37" xr10:uidLastSave="{00000000-0000-0000-0000-000000000000}"/>
  <bookViews>
    <workbookView xWindow="0" yWindow="0" windowWidth="21840" windowHeight="9192" tabRatio="685" activeTab="8" xr2:uid="{00000000-000D-0000-FFFF-FFFF00000000}"/>
  </bookViews>
  <sheets>
    <sheet name="Широков" sheetId="3" r:id="rId1"/>
    <sheet name="Агафонов" sheetId="4" r:id="rId2"/>
    <sheet name="Надежда" sheetId="9" r:id="rId3"/>
    <sheet name="Емельянов" sheetId="6" r:id="rId4"/>
    <sheet name="Емельянов В" sheetId="7" r:id="rId5"/>
    <sheet name="Икрамов" sheetId="8" r:id="rId6"/>
    <sheet name="стройки" sheetId="12" r:id="rId7"/>
    <sheet name="Итого" sheetId="2" r:id="rId8"/>
    <sheet name="parcing" sheetId="15" r:id="rId9"/>
    <sheet name="БАНК" sheetId="11" r:id="rId10"/>
    <sheet name="запасн." sheetId="10" r:id="rId11"/>
    <sheet name="в журнал" sheetId="13" r:id="rId12"/>
    <sheet name="цены" sheetId="14" r:id="rId1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D4" i="15"/>
  <c r="C21" i="15"/>
  <c r="C14" i="15"/>
  <c r="C9" i="15"/>
  <c r="C5" i="15"/>
  <c r="C19" i="15"/>
  <c r="D17" i="15"/>
  <c r="C16" i="15"/>
  <c r="C26" i="15"/>
  <c r="C17" i="15"/>
  <c r="C24" i="15"/>
  <c r="D2" i="15"/>
  <c r="C23" i="15"/>
  <c r="C8" i="15"/>
  <c r="C7" i="15"/>
  <c r="C28" i="15"/>
  <c r="C27" i="15"/>
  <c r="C20" i="15"/>
  <c r="C1" i="15"/>
  <c r="C12" i="15"/>
  <c r="C11" i="15"/>
  <c r="C4" i="15"/>
  <c r="C22" i="15"/>
  <c r="C3" i="15"/>
  <c r="C29" i="15"/>
  <c r="C15" i="15"/>
  <c r="C13" i="15"/>
  <c r="C6" i="15"/>
  <c r="C18" i="15"/>
  <c r="C2" i="15"/>
  <c r="C10" i="15"/>
  <c r="C25" i="15"/>
  <c r="AD14" i="13" l="1"/>
  <c r="AD13" i="13"/>
  <c r="AD12" i="13"/>
  <c r="AD11" i="13"/>
  <c r="AD10" i="13"/>
  <c r="A1" i="13" l="1"/>
  <c r="A3" i="10"/>
  <c r="A3" i="11"/>
  <c r="A4" i="12"/>
  <c r="A3" i="8"/>
  <c r="A3" i="7"/>
  <c r="A3" i="6"/>
  <c r="A3" i="9"/>
  <c r="A3" i="4"/>
  <c r="A3" i="3"/>
  <c r="K2" i="2"/>
  <c r="AA31" i="13" l="1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AA19" i="13"/>
  <c r="Z19" i="13"/>
  <c r="Y19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AA17" i="13"/>
  <c r="Z17" i="13"/>
  <c r="Y17" i="13"/>
  <c r="X17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AA29" i="13" l="1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C28" i="13"/>
  <c r="B28" i="13"/>
  <c r="N25" i="13"/>
  <c r="G25" i="13"/>
  <c r="P25" i="13"/>
  <c r="C25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AD25" i="13" l="1"/>
  <c r="AE25" i="13"/>
  <c r="AE12" i="13" l="1"/>
  <c r="AE13" i="13"/>
  <c r="AE14" i="13"/>
  <c r="AE11" i="13"/>
  <c r="AE10" i="13"/>
  <c r="I7" i="2" l="1"/>
  <c r="I6" i="2"/>
  <c r="T17" i="6" l="1"/>
  <c r="P20" i="13" s="1"/>
  <c r="D45" i="2" l="1"/>
  <c r="L45" i="2" s="1"/>
  <c r="D44" i="2"/>
  <c r="L44" i="2" s="1"/>
  <c r="AG24" i="4" l="1"/>
  <c r="AH24" i="4"/>
  <c r="AI24" i="4"/>
  <c r="K39" i="12" l="1"/>
  <c r="J39" i="12"/>
  <c r="I39" i="12"/>
  <c r="H39" i="12"/>
  <c r="G39" i="12"/>
  <c r="F39" i="12"/>
  <c r="E39" i="12"/>
  <c r="D39" i="12"/>
  <c r="C39" i="12"/>
  <c r="L38" i="12"/>
  <c r="L37" i="12"/>
  <c r="A35" i="12"/>
  <c r="K30" i="12"/>
  <c r="J30" i="12"/>
  <c r="I30" i="12"/>
  <c r="H30" i="12"/>
  <c r="G30" i="12"/>
  <c r="F30" i="12"/>
  <c r="E30" i="12"/>
  <c r="D30" i="12"/>
  <c r="C30" i="12"/>
  <c r="L29" i="12"/>
  <c r="L28" i="12"/>
  <c r="L27" i="12"/>
  <c r="A25" i="12"/>
  <c r="K17" i="12"/>
  <c r="J17" i="12"/>
  <c r="I17" i="12"/>
  <c r="H17" i="12"/>
  <c r="G17" i="12"/>
  <c r="F17" i="12"/>
  <c r="E17" i="12"/>
  <c r="D17" i="12"/>
  <c r="C17" i="12"/>
  <c r="E5" i="2" s="1"/>
  <c r="B17" i="12"/>
  <c r="L16" i="12"/>
  <c r="L15" i="12"/>
  <c r="L14" i="12"/>
  <c r="L13" i="12"/>
  <c r="L12" i="12"/>
  <c r="L11" i="12"/>
  <c r="L10" i="12"/>
  <c r="L9" i="12"/>
  <c r="L8" i="12"/>
  <c r="L7" i="12"/>
  <c r="L6" i="12"/>
  <c r="T24" i="3"/>
  <c r="P16" i="13" s="1"/>
  <c r="L24" i="3"/>
  <c r="J16" i="13" s="1"/>
  <c r="AB16" i="11"/>
  <c r="AH4" i="11"/>
  <c r="AG4" i="11"/>
  <c r="AF4" i="11"/>
  <c r="AE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B3" i="11"/>
  <c r="AH16" i="11"/>
  <c r="AG16" i="11"/>
  <c r="AF16" i="11"/>
  <c r="AE16" i="11"/>
  <c r="AD16" i="11"/>
  <c r="AC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AI4" i="10"/>
  <c r="AH4" i="10"/>
  <c r="AG4" i="10"/>
  <c r="AF4" i="10"/>
  <c r="AE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AB30" i="9"/>
  <c r="T30" i="9"/>
  <c r="P30" i="13" s="1"/>
  <c r="L30" i="9"/>
  <c r="J30" i="13" s="1"/>
  <c r="AI4" i="9"/>
  <c r="AH4" i="9"/>
  <c r="AG4" i="9"/>
  <c r="AF4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K30" i="9"/>
  <c r="AJ30" i="9"/>
  <c r="AI30" i="9"/>
  <c r="AH30" i="9"/>
  <c r="AG30" i="9"/>
  <c r="AF30" i="9"/>
  <c r="AE30" i="9"/>
  <c r="AD30" i="9"/>
  <c r="X30" i="13" s="1"/>
  <c r="AC30" i="9"/>
  <c r="AA30" i="9"/>
  <c r="V30" i="13" s="1"/>
  <c r="Z30" i="9"/>
  <c r="Z30" i="13" s="1"/>
  <c r="Y30" i="9"/>
  <c r="U30" i="13" s="1"/>
  <c r="X30" i="9"/>
  <c r="AA30" i="13" s="1"/>
  <c r="W30" i="9"/>
  <c r="S30" i="13" s="1"/>
  <c r="V30" i="9"/>
  <c r="R30" i="13" s="1"/>
  <c r="U30" i="9"/>
  <c r="Q30" i="13" s="1"/>
  <c r="S30" i="9"/>
  <c r="O30" i="13" s="1"/>
  <c r="R30" i="9"/>
  <c r="Q30" i="9"/>
  <c r="N30" i="13" s="1"/>
  <c r="P30" i="9"/>
  <c r="M30" i="13" s="1"/>
  <c r="O30" i="9"/>
  <c r="N30" i="9"/>
  <c r="M30" i="9"/>
  <c r="K30" i="13" s="1"/>
  <c r="K30" i="9"/>
  <c r="J30" i="9"/>
  <c r="I30" i="13" s="1"/>
  <c r="I30" i="9"/>
  <c r="H30" i="13" s="1"/>
  <c r="H30" i="9"/>
  <c r="G30" i="13" s="1"/>
  <c r="G30" i="9"/>
  <c r="F30" i="13" s="1"/>
  <c r="F30" i="9"/>
  <c r="D30" i="13" s="1"/>
  <c r="E30" i="9"/>
  <c r="E30" i="13" s="1"/>
  <c r="D30" i="9"/>
  <c r="C30" i="9"/>
  <c r="B30" i="9"/>
  <c r="T30" i="13" s="1"/>
  <c r="AB16" i="8"/>
  <c r="AI4" i="8"/>
  <c r="AH4" i="8"/>
  <c r="AG4" i="8"/>
  <c r="AF4" i="8"/>
  <c r="AE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K16" i="8"/>
  <c r="AJ16" i="8"/>
  <c r="AI16" i="8"/>
  <c r="AH16" i="8"/>
  <c r="AG16" i="8"/>
  <c r="AF16" i="8"/>
  <c r="AE16" i="8"/>
  <c r="AD16" i="8"/>
  <c r="X22" i="13" s="1"/>
  <c r="AC16" i="8"/>
  <c r="AA16" i="8"/>
  <c r="V22" i="13" s="1"/>
  <c r="Z16" i="8"/>
  <c r="Z22" i="13" s="1"/>
  <c r="Y16" i="8"/>
  <c r="U22" i="13" s="1"/>
  <c r="X16" i="8"/>
  <c r="AA22" i="13" s="1"/>
  <c r="W16" i="8"/>
  <c r="S22" i="13" s="1"/>
  <c r="V16" i="8"/>
  <c r="R22" i="13" s="1"/>
  <c r="U16" i="8"/>
  <c r="Q22" i="13" s="1"/>
  <c r="T16" i="8"/>
  <c r="P22" i="13" s="1"/>
  <c r="S16" i="8"/>
  <c r="O22" i="13" s="1"/>
  <c r="R16" i="8"/>
  <c r="Q16" i="8"/>
  <c r="N22" i="13" s="1"/>
  <c r="P16" i="8"/>
  <c r="O16" i="8"/>
  <c r="N16" i="8"/>
  <c r="L22" i="13" s="1"/>
  <c r="M16" i="8"/>
  <c r="K22" i="13" s="1"/>
  <c r="L16" i="8"/>
  <c r="J22" i="13" s="1"/>
  <c r="K16" i="8"/>
  <c r="J16" i="8"/>
  <c r="I22" i="13" s="1"/>
  <c r="I16" i="8"/>
  <c r="H22" i="13" s="1"/>
  <c r="H16" i="8"/>
  <c r="G22" i="13" s="1"/>
  <c r="G16" i="8"/>
  <c r="F22" i="13" s="1"/>
  <c r="F16" i="8"/>
  <c r="D22" i="13" s="1"/>
  <c r="E16" i="8"/>
  <c r="E22" i="13" s="1"/>
  <c r="D16" i="8"/>
  <c r="C16" i="8"/>
  <c r="B16" i="8"/>
  <c r="T22" i="13" s="1"/>
  <c r="AH4" i="7"/>
  <c r="AG4" i="7"/>
  <c r="AF4" i="7"/>
  <c r="AE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I19" i="7"/>
  <c r="AH19" i="7"/>
  <c r="AG19" i="7"/>
  <c r="AF19" i="7"/>
  <c r="AE19" i="7"/>
  <c r="AD19" i="7"/>
  <c r="X21" i="13" s="1"/>
  <c r="AC19" i="7"/>
  <c r="AB19" i="7"/>
  <c r="W21" i="13" s="1"/>
  <c r="AA19" i="7"/>
  <c r="V21" i="13" s="1"/>
  <c r="Z19" i="7"/>
  <c r="Z21" i="13" s="1"/>
  <c r="Y19" i="7"/>
  <c r="U21" i="13" s="1"/>
  <c r="X19" i="7"/>
  <c r="AA21" i="13" s="1"/>
  <c r="W19" i="7"/>
  <c r="S21" i="13" s="1"/>
  <c r="V19" i="7"/>
  <c r="R21" i="13" s="1"/>
  <c r="U19" i="7"/>
  <c r="Q21" i="13" s="1"/>
  <c r="T19" i="7"/>
  <c r="P21" i="13" s="1"/>
  <c r="S19" i="7"/>
  <c r="O21" i="13" s="1"/>
  <c r="R19" i="7"/>
  <c r="Q19" i="7"/>
  <c r="N21" i="13" s="1"/>
  <c r="P19" i="7"/>
  <c r="O19" i="7"/>
  <c r="N19" i="7"/>
  <c r="M19" i="7"/>
  <c r="K21" i="13" s="1"/>
  <c r="L19" i="7"/>
  <c r="J21" i="13" s="1"/>
  <c r="K19" i="7"/>
  <c r="J19" i="7"/>
  <c r="I21" i="13" s="1"/>
  <c r="I19" i="7"/>
  <c r="H21" i="13" s="1"/>
  <c r="H19" i="7"/>
  <c r="G21" i="13" s="1"/>
  <c r="G19" i="7"/>
  <c r="F21" i="13" s="1"/>
  <c r="F19" i="7"/>
  <c r="D21" i="13" s="1"/>
  <c r="E19" i="7"/>
  <c r="E21" i="13" s="1"/>
  <c r="D19" i="7"/>
  <c r="C19" i="7"/>
  <c r="B19" i="7"/>
  <c r="T21" i="13" s="1"/>
  <c r="AI4" i="3"/>
  <c r="AH4" i="3"/>
  <c r="AG4" i="3"/>
  <c r="AF4" i="3"/>
  <c r="AE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H17" i="6"/>
  <c r="AI4" i="6"/>
  <c r="AH4" i="6"/>
  <c r="AG4" i="6"/>
  <c r="AF4" i="6"/>
  <c r="AE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J17" i="6"/>
  <c r="AI17" i="6"/>
  <c r="AG17" i="6"/>
  <c r="AF17" i="6"/>
  <c r="AE17" i="6"/>
  <c r="AD17" i="6"/>
  <c r="X20" i="13" s="1"/>
  <c r="AC17" i="6"/>
  <c r="AB17" i="6"/>
  <c r="AA17" i="6"/>
  <c r="V20" i="13" s="1"/>
  <c r="Z17" i="6"/>
  <c r="Z20" i="13" s="1"/>
  <c r="Y17" i="6"/>
  <c r="U20" i="13" s="1"/>
  <c r="X17" i="6"/>
  <c r="AA20" i="13" s="1"/>
  <c r="W17" i="6"/>
  <c r="S20" i="13" s="1"/>
  <c r="V17" i="6"/>
  <c r="R20" i="13" s="1"/>
  <c r="U17" i="6"/>
  <c r="Q20" i="13" s="1"/>
  <c r="S17" i="6"/>
  <c r="O20" i="13" s="1"/>
  <c r="R17" i="6"/>
  <c r="Q17" i="6"/>
  <c r="N20" i="13" s="1"/>
  <c r="P17" i="6"/>
  <c r="O17" i="6"/>
  <c r="N17" i="6"/>
  <c r="M17" i="6"/>
  <c r="K20" i="13" s="1"/>
  <c r="L17" i="6"/>
  <c r="J20" i="13" s="1"/>
  <c r="K17" i="6"/>
  <c r="J17" i="6"/>
  <c r="I20" i="13" s="1"/>
  <c r="I17" i="6"/>
  <c r="H20" i="13" s="1"/>
  <c r="H17" i="6"/>
  <c r="G20" i="13" s="1"/>
  <c r="G17" i="6"/>
  <c r="F20" i="13" s="1"/>
  <c r="F17" i="6"/>
  <c r="D20" i="13" s="1"/>
  <c r="E17" i="6"/>
  <c r="E20" i="13" s="1"/>
  <c r="D17" i="6"/>
  <c r="C17" i="6"/>
  <c r="B17" i="6"/>
  <c r="T20" i="13" s="1"/>
  <c r="AG4" i="4"/>
  <c r="AI4" i="4"/>
  <c r="AH4" i="4"/>
  <c r="AF4" i="4"/>
  <c r="AE4" i="4"/>
  <c r="AI3" i="4"/>
  <c r="AH3" i="4"/>
  <c r="AG3" i="4"/>
  <c r="AF3" i="4"/>
  <c r="AE3" i="4"/>
  <c r="J40" i="2"/>
  <c r="N3" i="4"/>
  <c r="N4" i="4"/>
  <c r="N2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M4" i="4"/>
  <c r="L4" i="4"/>
  <c r="K4" i="4"/>
  <c r="J4" i="4"/>
  <c r="I4" i="4"/>
  <c r="H4" i="4"/>
  <c r="G4" i="4"/>
  <c r="F4" i="4"/>
  <c r="E4" i="4"/>
  <c r="D4" i="4"/>
  <c r="C4" i="4"/>
  <c r="B4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M3" i="4"/>
  <c r="L3" i="4"/>
  <c r="K3" i="4"/>
  <c r="J3" i="4"/>
  <c r="I3" i="4"/>
  <c r="H3" i="4"/>
  <c r="G3" i="4"/>
  <c r="F3" i="4"/>
  <c r="E3" i="4"/>
  <c r="D3" i="4"/>
  <c r="B3" i="4"/>
  <c r="C3" i="4"/>
  <c r="B24" i="4"/>
  <c r="T18" i="13" s="1"/>
  <c r="C24" i="4"/>
  <c r="AF24" i="4"/>
  <c r="AE24" i="4"/>
  <c r="AD24" i="4"/>
  <c r="X18" i="13" s="1"/>
  <c r="AC24" i="4"/>
  <c r="AB24" i="4"/>
  <c r="W18" i="13" s="1"/>
  <c r="AA24" i="4"/>
  <c r="V18" i="13" s="1"/>
  <c r="Z24" i="4"/>
  <c r="Z18" i="13" s="1"/>
  <c r="Y24" i="4"/>
  <c r="U18" i="13" s="1"/>
  <c r="X24" i="4"/>
  <c r="AA18" i="13" s="1"/>
  <c r="W24" i="4"/>
  <c r="S18" i="13" s="1"/>
  <c r="V24" i="4"/>
  <c r="R18" i="13" s="1"/>
  <c r="U24" i="4"/>
  <c r="Q18" i="13" s="1"/>
  <c r="T24" i="4"/>
  <c r="P18" i="13" s="1"/>
  <c r="S24" i="4"/>
  <c r="O18" i="13" s="1"/>
  <c r="R24" i="4"/>
  <c r="Q24" i="4"/>
  <c r="N18" i="13" s="1"/>
  <c r="P24" i="4"/>
  <c r="O24" i="4"/>
  <c r="M24" i="4"/>
  <c r="K18" i="13" s="1"/>
  <c r="L24" i="4"/>
  <c r="J18" i="13" s="1"/>
  <c r="K24" i="4"/>
  <c r="J24" i="4"/>
  <c r="I18" i="13" s="1"/>
  <c r="I24" i="4"/>
  <c r="H18" i="13" s="1"/>
  <c r="H24" i="4"/>
  <c r="G18" i="13" s="1"/>
  <c r="G24" i="4"/>
  <c r="F18" i="13" s="1"/>
  <c r="F24" i="4"/>
  <c r="D18" i="13" s="1"/>
  <c r="E24" i="4"/>
  <c r="E18" i="13" s="1"/>
  <c r="D24" i="4"/>
  <c r="B24" i="3"/>
  <c r="T16" i="13" s="1"/>
  <c r="C24" i="3"/>
  <c r="D24" i="3"/>
  <c r="C16" i="13" s="1"/>
  <c r="E24" i="3"/>
  <c r="E16" i="13" s="1"/>
  <c r="F24" i="3"/>
  <c r="D16" i="13" s="1"/>
  <c r="G24" i="3"/>
  <c r="F16" i="13" s="1"/>
  <c r="H24" i="3"/>
  <c r="G16" i="13" s="1"/>
  <c r="I24" i="3"/>
  <c r="H16" i="13" s="1"/>
  <c r="J24" i="3"/>
  <c r="I16" i="13" s="1"/>
  <c r="K24" i="3"/>
  <c r="M24" i="3"/>
  <c r="K16" i="13" s="1"/>
  <c r="N24" i="3"/>
  <c r="O24" i="3"/>
  <c r="P24" i="3"/>
  <c r="Q24" i="3"/>
  <c r="N16" i="13" s="1"/>
  <c r="R24" i="3"/>
  <c r="S24" i="3"/>
  <c r="O16" i="13" s="1"/>
  <c r="U24" i="3"/>
  <c r="Q16" i="13" s="1"/>
  <c r="V24" i="3"/>
  <c r="R16" i="13" s="1"/>
  <c r="W24" i="3"/>
  <c r="S16" i="13" s="1"/>
  <c r="X24" i="3"/>
  <c r="AA16" i="13" s="1"/>
  <c r="Y24" i="3"/>
  <c r="U16" i="13" s="1"/>
  <c r="Z24" i="3"/>
  <c r="Z16" i="13" s="1"/>
  <c r="AA24" i="3"/>
  <c r="V16" i="13" s="1"/>
  <c r="AB24" i="3"/>
  <c r="W16" i="13" s="1"/>
  <c r="AC24" i="3"/>
  <c r="AD24" i="3"/>
  <c r="X16" i="13" s="1"/>
  <c r="AE24" i="3"/>
  <c r="AF24" i="3"/>
  <c r="AG24" i="3"/>
  <c r="AH24" i="3"/>
  <c r="AI24" i="3"/>
  <c r="AJ24" i="3"/>
  <c r="AK24" i="3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" i="2"/>
  <c r="K45" i="2"/>
  <c r="K44" i="2"/>
  <c r="G42" i="2"/>
  <c r="K42" i="2" s="1"/>
  <c r="G41" i="2"/>
  <c r="K41" i="2" s="1"/>
  <c r="G4" i="2"/>
  <c r="K4" i="2" s="1"/>
  <c r="O26" i="3" l="1"/>
  <c r="Y16" i="13"/>
  <c r="P26" i="4"/>
  <c r="M18" i="13"/>
  <c r="O18" i="8"/>
  <c r="Y22" i="13"/>
  <c r="W30" i="13"/>
  <c r="L30" i="12"/>
  <c r="N26" i="3"/>
  <c r="L16" i="13"/>
  <c r="C26" i="4"/>
  <c r="B18" i="13"/>
  <c r="C20" i="6"/>
  <c r="B20" i="13"/>
  <c r="W20" i="13"/>
  <c r="C22" i="7"/>
  <c r="B21" i="13"/>
  <c r="P18" i="8"/>
  <c r="M22" i="13"/>
  <c r="W22" i="13"/>
  <c r="D16" i="2"/>
  <c r="G16" i="2" s="1"/>
  <c r="K16" i="2" s="1"/>
  <c r="N26" i="4"/>
  <c r="L18" i="13"/>
  <c r="D20" i="6"/>
  <c r="C20" i="13"/>
  <c r="D22" i="7"/>
  <c r="C21" i="13"/>
  <c r="P26" i="3"/>
  <c r="M16" i="13"/>
  <c r="C32" i="9"/>
  <c r="B30" i="13"/>
  <c r="E22" i="2"/>
  <c r="O26" i="13"/>
  <c r="AD26" i="13" s="1"/>
  <c r="AE26" i="13" s="1"/>
  <c r="N20" i="6"/>
  <c r="L20" i="13"/>
  <c r="N22" i="7"/>
  <c r="L21" i="13"/>
  <c r="C18" i="8"/>
  <c r="B22" i="13"/>
  <c r="D32" i="9"/>
  <c r="C30" i="13"/>
  <c r="D26" i="4"/>
  <c r="C18" i="13"/>
  <c r="O20" i="6"/>
  <c r="Y20" i="13"/>
  <c r="O22" i="7"/>
  <c r="Y21" i="13"/>
  <c r="D18" i="8"/>
  <c r="C22" i="13"/>
  <c r="N32" i="9"/>
  <c r="L30" i="13"/>
  <c r="L39" i="12"/>
  <c r="P20" i="6"/>
  <c r="M20" i="13"/>
  <c r="P22" i="7"/>
  <c r="M21" i="13"/>
  <c r="O32" i="9"/>
  <c r="Y30" i="13"/>
  <c r="O26" i="4"/>
  <c r="Y18" i="13"/>
  <c r="AL18" i="9"/>
  <c r="C26" i="3"/>
  <c r="B16" i="13"/>
  <c r="D8" i="2"/>
  <c r="G8" i="2" s="1"/>
  <c r="K8" i="2" s="1"/>
  <c r="D33" i="2"/>
  <c r="G33" i="2" s="1"/>
  <c r="K33" i="2" s="1"/>
  <c r="D9" i="2"/>
  <c r="G9" i="2" s="1"/>
  <c r="K9" i="2" s="1"/>
  <c r="D13" i="2"/>
  <c r="G13" i="2" s="1"/>
  <c r="K13" i="2" s="1"/>
  <c r="D21" i="2"/>
  <c r="G21" i="2" s="1"/>
  <c r="K21" i="2" s="1"/>
  <c r="D25" i="2"/>
  <c r="G25" i="2" s="1"/>
  <c r="K25" i="2" s="1"/>
  <c r="D29" i="2"/>
  <c r="G29" i="2" s="1"/>
  <c r="K29" i="2" s="1"/>
  <c r="D24" i="2"/>
  <c r="G24" i="2" s="1"/>
  <c r="K24" i="2" s="1"/>
  <c r="D34" i="2"/>
  <c r="G34" i="2" s="1"/>
  <c r="K34" i="2" s="1"/>
  <c r="D10" i="2"/>
  <c r="G10" i="2" s="1"/>
  <c r="K10" i="2" s="1"/>
  <c r="D14" i="2"/>
  <c r="G14" i="2" s="1"/>
  <c r="K14" i="2" s="1"/>
  <c r="D18" i="2"/>
  <c r="G18" i="2" s="1"/>
  <c r="K18" i="2" s="1"/>
  <c r="D22" i="2"/>
  <c r="G22" i="2" s="1"/>
  <c r="K22" i="2" s="1"/>
  <c r="D26" i="2"/>
  <c r="G26" i="2" s="1"/>
  <c r="K26" i="2" s="1"/>
  <c r="D30" i="2"/>
  <c r="G30" i="2" s="1"/>
  <c r="K30" i="2" s="1"/>
  <c r="D35" i="2"/>
  <c r="G35" i="2" s="1"/>
  <c r="K35" i="2" s="1"/>
  <c r="D12" i="2"/>
  <c r="G12" i="2" s="1"/>
  <c r="K12" i="2" s="1"/>
  <c r="D20" i="2"/>
  <c r="G20" i="2" s="1"/>
  <c r="K20" i="2" s="1"/>
  <c r="D28" i="2"/>
  <c r="G28" i="2" s="1"/>
  <c r="K28" i="2" s="1"/>
  <c r="AL5" i="8"/>
  <c r="D11" i="2"/>
  <c r="G11" i="2" s="1"/>
  <c r="K11" i="2" s="1"/>
  <c r="D15" i="2"/>
  <c r="G15" i="2" s="1"/>
  <c r="K15" i="2" s="1"/>
  <c r="D23" i="2"/>
  <c r="G23" i="2" s="1"/>
  <c r="K23" i="2" s="1"/>
  <c r="D27" i="2"/>
  <c r="G27" i="2" s="1"/>
  <c r="K27" i="2" s="1"/>
  <c r="D32" i="2"/>
  <c r="G32" i="2" s="1"/>
  <c r="K32" i="2" s="1"/>
  <c r="D36" i="2"/>
  <c r="G36" i="2" s="1"/>
  <c r="K36" i="2" s="1"/>
  <c r="D31" i="2"/>
  <c r="G31" i="2" s="1"/>
  <c r="K31" i="2" s="1"/>
  <c r="D5" i="2"/>
  <c r="G5" i="2" s="1"/>
  <c r="N18" i="8"/>
  <c r="D17" i="2"/>
  <c r="G17" i="2" s="1"/>
  <c r="K17" i="2" s="1"/>
  <c r="P32" i="9"/>
  <c r="D19" i="2"/>
  <c r="G19" i="2" s="1"/>
  <c r="K19" i="2" s="1"/>
  <c r="D26" i="3"/>
  <c r="D7" i="2"/>
  <c r="G7" i="2" s="1"/>
  <c r="D6" i="2"/>
  <c r="AJ17" i="10"/>
  <c r="AJ23" i="4"/>
  <c r="AJ19" i="4"/>
  <c r="AJ15" i="4"/>
  <c r="AJ11" i="4"/>
  <c r="AJ6" i="4"/>
  <c r="AJ22" i="4"/>
  <c r="AJ18" i="4"/>
  <c r="AJ14" i="4"/>
  <c r="AJ9" i="4"/>
  <c r="AJ5" i="4"/>
  <c r="AJ21" i="4"/>
  <c r="AJ17" i="4"/>
  <c r="AJ13" i="4"/>
  <c r="AJ8" i="4"/>
  <c r="AJ10" i="4"/>
  <c r="AJ20" i="4"/>
  <c r="AJ16" i="4"/>
  <c r="AJ12" i="4"/>
  <c r="AJ7" i="4"/>
  <c r="AI15" i="11"/>
  <c r="AI14" i="11"/>
  <c r="AI13" i="11"/>
  <c r="AI12" i="11"/>
  <c r="AL12" i="8"/>
  <c r="AJ6" i="10"/>
  <c r="D37" i="2"/>
  <c r="G37" i="2" s="1"/>
  <c r="K37" i="2" s="1"/>
  <c r="AL21" i="3"/>
  <c r="AJ16" i="10"/>
  <c r="AJ18" i="10"/>
  <c r="AJ15" i="7"/>
  <c r="AK14" i="6"/>
  <c r="AK15" i="6"/>
  <c r="AL29" i="9"/>
  <c r="AL26" i="9"/>
  <c r="AL6" i="3"/>
  <c r="AL13" i="3"/>
  <c r="AL15" i="8"/>
  <c r="AL8" i="8"/>
  <c r="L17" i="12"/>
  <c r="M5" i="2"/>
  <c r="AJ7" i="7"/>
  <c r="AK7" i="6"/>
  <c r="AJ18" i="7"/>
  <c r="AJ10" i="10"/>
  <c r="AL9" i="3"/>
  <c r="AL5" i="3"/>
  <c r="AL14" i="9"/>
  <c r="AJ14" i="10"/>
  <c r="AK11" i="6"/>
  <c r="AL17" i="3"/>
  <c r="AJ11" i="7"/>
  <c r="AL6" i="9"/>
  <c r="AL22" i="9"/>
  <c r="AL10" i="9"/>
  <c r="AI9" i="11"/>
  <c r="AD29" i="13" s="1"/>
  <c r="AI6" i="11"/>
  <c r="AI10" i="11"/>
  <c r="AI7" i="11"/>
  <c r="AD23" i="13" s="1"/>
  <c r="AI11" i="11"/>
  <c r="AI8" i="11"/>
  <c r="AD28" i="13" s="1"/>
  <c r="AI5" i="11"/>
  <c r="AJ7" i="10"/>
  <c r="AJ11" i="10"/>
  <c r="AJ15" i="10"/>
  <c r="AJ19" i="10"/>
  <c r="AJ8" i="10"/>
  <c r="AJ12" i="10"/>
  <c r="AJ5" i="10"/>
  <c r="AJ9" i="10"/>
  <c r="AJ13" i="10"/>
  <c r="AL7" i="9"/>
  <c r="AL15" i="9"/>
  <c r="AL23" i="9"/>
  <c r="AL8" i="9"/>
  <c r="AL12" i="9"/>
  <c r="AL16" i="9"/>
  <c r="AL20" i="9"/>
  <c r="AL24" i="9"/>
  <c r="AL28" i="9"/>
  <c r="AL11" i="9"/>
  <c r="AL19" i="9"/>
  <c r="AL27" i="9"/>
  <c r="AL5" i="9"/>
  <c r="AL9" i="9"/>
  <c r="AL13" i="9"/>
  <c r="AL17" i="9"/>
  <c r="AL21" i="9"/>
  <c r="AL25" i="9"/>
  <c r="AL9" i="8"/>
  <c r="AL6" i="8"/>
  <c r="AL10" i="8"/>
  <c r="AL14" i="8"/>
  <c r="AL13" i="8"/>
  <c r="AL7" i="8"/>
  <c r="AL11" i="8"/>
  <c r="AJ8" i="7"/>
  <c r="AJ12" i="7"/>
  <c r="AJ16" i="7"/>
  <c r="AJ5" i="7"/>
  <c r="AJ9" i="7"/>
  <c r="AJ13" i="7"/>
  <c r="AJ17" i="7"/>
  <c r="AJ6" i="7"/>
  <c r="AJ10" i="7"/>
  <c r="AJ14" i="7"/>
  <c r="AL12" i="3"/>
  <c r="AL23" i="3"/>
  <c r="AL19" i="3"/>
  <c r="AL15" i="3"/>
  <c r="AL11" i="3"/>
  <c r="AL7" i="3"/>
  <c r="AL20" i="3"/>
  <c r="AL16" i="3"/>
  <c r="AL8" i="3"/>
  <c r="AL22" i="3"/>
  <c r="AL18" i="3"/>
  <c r="AL14" i="3"/>
  <c r="AL10" i="3"/>
  <c r="AK8" i="6"/>
  <c r="AK12" i="6"/>
  <c r="AK16" i="6"/>
  <c r="AK5" i="6"/>
  <c r="AK9" i="6"/>
  <c r="AK13" i="6"/>
  <c r="AK6" i="6"/>
  <c r="AK10" i="6"/>
  <c r="D29" i="15"/>
  <c r="D28" i="15"/>
  <c r="D27" i="15"/>
  <c r="D26" i="15"/>
  <c r="D25" i="15"/>
  <c r="D24" i="15"/>
  <c r="D23" i="15"/>
  <c r="D22" i="15"/>
  <c r="D21" i="15"/>
  <c r="D20" i="15"/>
  <c r="D19" i="15"/>
  <c r="D18" i="15"/>
  <c r="D16" i="15"/>
  <c r="D15" i="15"/>
  <c r="D14" i="15"/>
  <c r="D13" i="15"/>
  <c r="D12" i="15"/>
  <c r="D11" i="15"/>
  <c r="D10" i="15"/>
  <c r="D9" i="15"/>
  <c r="D7" i="15"/>
  <c r="D6" i="15"/>
  <c r="D5" i="15"/>
  <c r="D8" i="15"/>
  <c r="X5" i="13" l="1"/>
  <c r="W5" i="13"/>
  <c r="V5" i="13"/>
  <c r="Z5" i="13"/>
  <c r="U5" i="13"/>
  <c r="AA5" i="13"/>
  <c r="S5" i="13"/>
  <c r="R5" i="13"/>
  <c r="Q5" i="13"/>
  <c r="P5" i="13"/>
  <c r="O5" i="13"/>
  <c r="N5" i="13"/>
  <c r="M5" i="13"/>
  <c r="Y5" i="13"/>
  <c r="L5" i="13"/>
  <c r="K5" i="13"/>
  <c r="J5" i="13"/>
  <c r="I5" i="13"/>
  <c r="G5" i="13"/>
  <c r="F5" i="13"/>
  <c r="D5" i="13"/>
  <c r="H5" i="13"/>
  <c r="E5" i="13"/>
  <c r="K7" i="2"/>
  <c r="O5" i="2"/>
  <c r="K5" i="2"/>
  <c r="AK17" i="6"/>
  <c r="AL30" i="9"/>
  <c r="AD30" i="13" s="1"/>
  <c r="AL24" i="3"/>
  <c r="AD16" i="13" s="1"/>
  <c r="AI16" i="11"/>
  <c r="G38" i="2" s="1"/>
  <c r="K38" i="2" s="1"/>
  <c r="AJ20" i="10"/>
  <c r="AL16" i="8"/>
  <c r="AD22" i="13" s="1"/>
  <c r="AJ19" i="7"/>
  <c r="AD21" i="13" s="1"/>
  <c r="AJ24" i="4"/>
  <c r="D1" i="15"/>
  <c r="D3" i="15"/>
  <c r="T5" i="13" l="1"/>
  <c r="C5" i="13"/>
  <c r="G40" i="2"/>
  <c r="K40" i="2" s="1"/>
  <c r="AD20" i="13"/>
  <c r="G39" i="2"/>
  <c r="K39" i="2" s="1"/>
  <c r="AD18" i="13"/>
  <c r="K6" i="2"/>
  <c r="B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Драгунова Горшечная 28</t>
        </r>
      </text>
    </comment>
    <comment ref="A7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Драгунова Кашина
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Хомичук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8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Росинка Хвощевка Полевая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Драгунова Карла-Маркса 20
</t>
        </r>
      </text>
    </comment>
    <comment ref="A21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Лесенка</t>
        </r>
      </text>
    </comment>
    <comment ref="A2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Солнечный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6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Комаров Березовка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1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Караван-СК</t>
        </r>
      </text>
    </comment>
    <comment ref="A1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Караван-СК 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6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TOHA:серая накл с-14 шт*18 руб, б-14 шт*18руб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<sst xmlns="http://schemas.openxmlformats.org/spreadsheetml/2006/main" count="322" uniqueCount="207">
  <si>
    <t>сеяный</t>
  </si>
  <si>
    <t>Раменский</t>
  </si>
  <si>
    <t>стройки</t>
  </si>
  <si>
    <t>итого</t>
  </si>
  <si>
    <t>каравай</t>
  </si>
  <si>
    <t xml:space="preserve">                                                                                                            </t>
  </si>
  <si>
    <t xml:space="preserve">хлеб белый 0,45 </t>
  </si>
  <si>
    <t>из них</t>
  </si>
  <si>
    <t>город</t>
  </si>
  <si>
    <t>калач сарат.</t>
  </si>
  <si>
    <t>ромашка</t>
  </si>
  <si>
    <t>городская булка</t>
  </si>
  <si>
    <t>ватрушка</t>
  </si>
  <si>
    <t>тесто</t>
  </si>
  <si>
    <t>фран. Батон</t>
  </si>
  <si>
    <t>пшеничный хлеб</t>
  </si>
  <si>
    <t>деревенский 0,25</t>
  </si>
  <si>
    <t>докторская булка</t>
  </si>
  <si>
    <t>печенье</t>
  </si>
  <si>
    <t>хачапури</t>
  </si>
  <si>
    <t>сосиска с сыром</t>
  </si>
  <si>
    <t>пирог с мясом</t>
  </si>
  <si>
    <t>Фортуна</t>
  </si>
  <si>
    <t>раменский</t>
  </si>
  <si>
    <t>прост. Бат. 0,25</t>
  </si>
  <si>
    <t>сеяный хлеб</t>
  </si>
  <si>
    <t>раменский батон</t>
  </si>
  <si>
    <t>слойка</t>
  </si>
  <si>
    <t>сосиска в тесте</t>
  </si>
  <si>
    <t>лаваш</t>
  </si>
  <si>
    <t xml:space="preserve">деревенский </t>
  </si>
  <si>
    <t xml:space="preserve">домашний </t>
  </si>
  <si>
    <t>нарез. Сеяный</t>
  </si>
  <si>
    <t>нарез. Раменский</t>
  </si>
  <si>
    <t>сеяный 0,5</t>
  </si>
  <si>
    <t>сеяный 0,3</t>
  </si>
  <si>
    <t>сеяный 0,2</t>
  </si>
  <si>
    <t>пирог с капустой</t>
  </si>
  <si>
    <t>пирог с луком</t>
  </si>
  <si>
    <t>ОБМЕН</t>
  </si>
  <si>
    <t xml:space="preserve"> </t>
  </si>
  <si>
    <t>Гераськина Б. Бедрино</t>
  </si>
  <si>
    <t>Григоренко д. Букино</t>
  </si>
  <si>
    <t>ИП Куштаева Кам.</t>
  </si>
  <si>
    <t>д.Куликово</t>
  </si>
  <si>
    <t>Фирс Лакша</t>
  </si>
  <si>
    <t>СКАЗ АФАН</t>
  </si>
  <si>
    <t>Старцева(рынок)</t>
  </si>
  <si>
    <t>КОЛОС Лакша</t>
  </si>
  <si>
    <t>ИП Козлов</t>
  </si>
  <si>
    <t>Калашн Каши</t>
  </si>
  <si>
    <t xml:space="preserve"> ОТН пер Дуде</t>
  </si>
  <si>
    <t>Елена Лакша</t>
  </si>
  <si>
    <t>Сидор Лакша</t>
  </si>
  <si>
    <t>Гришобув</t>
  </si>
  <si>
    <t xml:space="preserve"> Пим Хромт</t>
  </si>
  <si>
    <t>НАД31 у Каш</t>
  </si>
  <si>
    <t>Теремок Чеканова</t>
  </si>
  <si>
    <t>ул.ГОРШ №18</t>
  </si>
  <si>
    <t>сумма</t>
  </si>
  <si>
    <t>сеяный нарезной</t>
  </si>
  <si>
    <t xml:space="preserve">Широков </t>
  </si>
  <si>
    <t>цена</t>
  </si>
  <si>
    <t>ДАТА</t>
  </si>
  <si>
    <t>Агафонов</t>
  </si>
  <si>
    <t>РОСИН Хв Центр.9</t>
  </si>
  <si>
    <t>РОСИН Ягодн</t>
  </si>
  <si>
    <t>РОСИН Хв,Ц 83</t>
  </si>
  <si>
    <t>РОСИНХв,Пол</t>
  </si>
  <si>
    <t>ЧАЙКА Хвощ.24</t>
  </si>
  <si>
    <t>ЧАЙКА Хвощ69</t>
  </si>
  <si>
    <t>"Купец" Шап.</t>
  </si>
  <si>
    <t>Смир Оранки</t>
  </si>
  <si>
    <t>м-н Солнеч.Ягодное</t>
  </si>
  <si>
    <t>ЧАЙКА Ключищи</t>
  </si>
  <si>
    <t>росинка Оранки</t>
  </si>
  <si>
    <t>ГРАНД Б Лукино</t>
  </si>
  <si>
    <t>СКАЗКА Лукино</t>
  </si>
  <si>
    <t>ВЕЛЕС Шапкино</t>
  </si>
  <si>
    <t>Троица</t>
  </si>
  <si>
    <t>обмен</t>
  </si>
  <si>
    <t>Емельянов</t>
  </si>
  <si>
    <t>дом. п/ф Бер</t>
  </si>
  <si>
    <t>Ком Бер</t>
  </si>
  <si>
    <t>ЕЛЕНА Бер</t>
  </si>
  <si>
    <t>свежее мясо</t>
  </si>
  <si>
    <t>итого:</t>
  </si>
  <si>
    <t>обмен:</t>
  </si>
  <si>
    <t>Емельянов В.</t>
  </si>
  <si>
    <t>УДАЧА Центр.</t>
  </si>
  <si>
    <t>Лаптева (м-н Авокадо)</t>
  </si>
  <si>
    <t>ЛИЛИЯ ЦЕНТР.</t>
  </si>
  <si>
    <t>Язькова Высок.</t>
  </si>
  <si>
    <t>Икрамов</t>
  </si>
  <si>
    <t>ЛУЧ АЛЕШКОВО</t>
  </si>
  <si>
    <t>КЛИМИН АЛЕШКОВ</t>
  </si>
  <si>
    <t>Драгунов Песочное</t>
  </si>
  <si>
    <t>ЕЛЕНА Дуденево</t>
  </si>
  <si>
    <t>завод Хром  Кож</t>
  </si>
  <si>
    <t>Зав. Хр. Кож 2</t>
  </si>
  <si>
    <t>Дата</t>
  </si>
  <si>
    <t>НАДЕЖДА</t>
  </si>
  <si>
    <t>ТЦ.Добролюб</t>
  </si>
  <si>
    <t>ООО Березка" Данилова,54</t>
  </si>
  <si>
    <t xml:space="preserve">ИП Павлычев </t>
  </si>
  <si>
    <t>Дубровина</t>
  </si>
  <si>
    <t>Аверьянов</t>
  </si>
  <si>
    <t>пожарка</t>
  </si>
  <si>
    <t>Дарли</t>
  </si>
  <si>
    <t>Ласточка</t>
  </si>
  <si>
    <t>Меркурий(Катюша)</t>
  </si>
  <si>
    <t>Шапошникова</t>
  </si>
  <si>
    <t>м-н "ЕВА"</t>
  </si>
  <si>
    <t>Драг.№ 17</t>
  </si>
  <si>
    <t>ЧайкаМ.Гор</t>
  </si>
  <si>
    <t>Лысков.колб.</t>
  </si>
  <si>
    <t>Лыск колб микр</t>
  </si>
  <si>
    <t>драгунова</t>
  </si>
  <si>
    <t>маркина</t>
  </si>
  <si>
    <t>КАР-2Котельн</t>
  </si>
  <si>
    <t>КУЛИЕВ</t>
  </si>
  <si>
    <t>Пим Црб буфет</t>
  </si>
  <si>
    <t>"Каприз" Суш</t>
  </si>
  <si>
    <t>ООО "Кардинал" (Лябин)</t>
  </si>
  <si>
    <t xml:space="preserve">      </t>
  </si>
  <si>
    <t>Центр Союз</t>
  </si>
  <si>
    <t>Мясной Гурман</t>
  </si>
  <si>
    <t>Викмос(Лукойл)</t>
  </si>
  <si>
    <t xml:space="preserve">обмен </t>
  </si>
  <si>
    <t>Тарасов М..</t>
  </si>
  <si>
    <t>Князева</t>
  </si>
  <si>
    <t>Эридан сказ</t>
  </si>
  <si>
    <t>Хомутова</t>
  </si>
  <si>
    <t>каравай добр</t>
  </si>
  <si>
    <t>рябинка</t>
  </si>
  <si>
    <t>каравай2м-н</t>
  </si>
  <si>
    <t xml:space="preserve">                                                                                                              </t>
  </si>
  <si>
    <t>ЧЛ</t>
  </si>
  <si>
    <t>пап</t>
  </si>
  <si>
    <t>Юля</t>
  </si>
  <si>
    <t>реаб. Центр</t>
  </si>
  <si>
    <t>КАППУЧИНО</t>
  </si>
  <si>
    <t>"ЖИТО"</t>
  </si>
  <si>
    <t>Березка Швариха</t>
  </si>
  <si>
    <t>Стройки</t>
  </si>
  <si>
    <t>батон 0,2</t>
  </si>
  <si>
    <t>батон 0,3</t>
  </si>
  <si>
    <t>хлеб белый 0,45</t>
  </si>
  <si>
    <t>лепешка сметанная</t>
  </si>
  <si>
    <t>слойка 0,1</t>
  </si>
  <si>
    <t>бублики с кунжутом</t>
  </si>
  <si>
    <t>сдоба</t>
  </si>
  <si>
    <t>Анкудиновский парк</t>
  </si>
  <si>
    <t>Зелецино 89063508569</t>
  </si>
  <si>
    <t>ИП Гамидов</t>
  </si>
  <si>
    <t>ВСЕГО</t>
  </si>
  <si>
    <t>Гамидов (в мешках) выгружать в Зелецино (на охране)</t>
  </si>
  <si>
    <t>пирог с творогом</t>
  </si>
  <si>
    <t>Низам  к 8 утра</t>
  </si>
  <si>
    <t xml:space="preserve">В Анкуд. Парк 30 шт.  Сдобы и лаваша упаковать </t>
  </si>
  <si>
    <t>Кузбас 89601731242</t>
  </si>
  <si>
    <t>В С К 89601945952</t>
  </si>
  <si>
    <t>лотки</t>
  </si>
  <si>
    <t>ИТОГО</t>
  </si>
  <si>
    <t>половинки</t>
  </si>
  <si>
    <t>р-он школы</t>
  </si>
  <si>
    <t>р-он садики</t>
  </si>
  <si>
    <t>фортуна</t>
  </si>
  <si>
    <t>город школы</t>
  </si>
  <si>
    <t>город садики</t>
  </si>
  <si>
    <t>Широков</t>
  </si>
  <si>
    <t>Емельянов В</t>
  </si>
  <si>
    <t>Жито</t>
  </si>
  <si>
    <t>Н. Новгород</t>
  </si>
  <si>
    <t>Магнит</t>
  </si>
  <si>
    <t>Петрова</t>
  </si>
  <si>
    <t>калач</t>
  </si>
  <si>
    <t>городская</t>
  </si>
  <si>
    <t>сосиска</t>
  </si>
  <si>
    <t>французский</t>
  </si>
  <si>
    <t>пшеничный</t>
  </si>
  <si>
    <t>домашний</t>
  </si>
  <si>
    <t>докторская</t>
  </si>
  <si>
    <t>простой батон</t>
  </si>
  <si>
    <t>пироги</t>
  </si>
  <si>
    <t>пироги мясо</t>
  </si>
  <si>
    <t>Сумма</t>
  </si>
  <si>
    <t>Разница</t>
  </si>
  <si>
    <t>Реаб. Центр.</t>
  </si>
  <si>
    <t>капучино</t>
  </si>
  <si>
    <t>Широков обмен</t>
  </si>
  <si>
    <t>Агафонов обмен</t>
  </si>
  <si>
    <t>Юля обмен</t>
  </si>
  <si>
    <t>Петрова обмен</t>
  </si>
  <si>
    <t>Выпекли</t>
  </si>
  <si>
    <t>Съели</t>
  </si>
  <si>
    <t>Рабочие</t>
  </si>
  <si>
    <t>дерев 0,25</t>
  </si>
  <si>
    <t>деревен</t>
  </si>
  <si>
    <t>розочка с творогом</t>
  </si>
  <si>
    <t xml:space="preserve">Сеяный </t>
  </si>
  <si>
    <t>Садики (НЛК)</t>
  </si>
  <si>
    <t>Школы (Фортуна)</t>
  </si>
  <si>
    <t>Нарез. Раменский</t>
  </si>
  <si>
    <t>Слойка</t>
  </si>
  <si>
    <t>Докторская</t>
  </si>
  <si>
    <t>ЖИТО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</si>
</sst>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scheme val="minor"/>
    </font>
    <font>
      <b/>
      <sz val="6"/>
      <color theme="1"/>
      <name val="Calibri"/>
      <family val="2"/>
      <charset val="204"/>
      <scheme val="minor"/>
    </font>
    <font>
      <b/>
      <sz val="7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3" fillId="0" borderId="0"/>
    <xf numFmtId="0" fontId="24" fillId="0" borderId="0" applyNumberFormat="0" applyFill="0" applyBorder="0" applyAlignment="0" applyProtection="0"/>
  </cellStyleXfs>
  <cellXfs count="253">
    <xf numFmtId="0" fontId="0" fillId="0" borderId="0" xfId="0"/>
    <xf numFmtId="0" fontId="3" fillId="0" borderId="1" xfId="1" applyFill="1" applyBorder="1"/>
    <xf numFmtId="0" fontId="4" fillId="0" borderId="1" xfId="1" applyFont="1" applyFill="1" applyBorder="1"/>
    <xf numFmtId="0" fontId="3" fillId="0" borderId="0" xfId="1" applyFill="1"/>
    <xf numFmtId="0" fontId="2" fillId="0" borderId="0" xfId="1" applyFont="1" applyFill="1"/>
    <xf numFmtId="0" fontId="2" fillId="0" borderId="1" xfId="1" applyFont="1" applyFill="1" applyBorder="1"/>
    <xf numFmtId="0" fontId="5" fillId="0" borderId="1" xfId="1" applyFont="1" applyFill="1" applyBorder="1" applyAlignment="1">
      <alignment horizontal="center"/>
    </xf>
    <xf numFmtId="0" fontId="5" fillId="0" borderId="1" xfId="1" applyFont="1" applyFill="1" applyBorder="1"/>
    <xf numFmtId="0" fontId="3" fillId="0" borderId="1" xfId="1" applyFont="1" applyFill="1" applyBorder="1" applyAlignment="1">
      <alignment wrapText="1"/>
    </xf>
    <xf numFmtId="0" fontId="2" fillId="0" borderId="1" xfId="1" applyFont="1" applyFill="1" applyBorder="1" applyAlignment="1">
      <alignment wrapText="1"/>
    </xf>
    <xf numFmtId="0" fontId="3" fillId="0" borderId="1" xfId="1" applyFill="1" applyBorder="1" applyAlignment="1">
      <alignment wrapText="1"/>
    </xf>
    <xf numFmtId="0" fontId="6" fillId="0" borderId="1" xfId="1" applyFont="1" applyFill="1" applyBorder="1"/>
    <xf numFmtId="0" fontId="6" fillId="0" borderId="1" xfId="1" applyFont="1" applyFill="1" applyBorder="1" applyAlignment="1">
      <alignment wrapText="1"/>
    </xf>
    <xf numFmtId="0" fontId="3" fillId="0" borderId="0" xfId="1" applyFill="1" applyBorder="1"/>
    <xf numFmtId="0" fontId="7" fillId="0" borderId="1" xfId="1" applyFont="1" applyFill="1" applyBorder="1"/>
    <xf numFmtId="0" fontId="8" fillId="0" borderId="1" xfId="1" applyFont="1" applyFill="1" applyBorder="1"/>
    <xf numFmtId="0" fontId="9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12" fillId="0" borderId="1" xfId="1" applyFont="1" applyFill="1" applyBorder="1"/>
    <xf numFmtId="0" fontId="13" fillId="0" borderId="1" xfId="1" applyFont="1" applyFill="1" applyBorder="1"/>
    <xf numFmtId="0" fontId="14" fillId="0" borderId="1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 wrapText="1"/>
    </xf>
    <xf numFmtId="0" fontId="9" fillId="0" borderId="1" xfId="1" applyFont="1" applyFill="1" applyBorder="1"/>
    <xf numFmtId="0" fontId="2" fillId="0" borderId="1" xfId="1" applyFont="1" applyFill="1" applyBorder="1" applyAlignment="1"/>
    <xf numFmtId="0" fontId="15" fillId="0" borderId="1" xfId="1" applyFont="1" applyFill="1" applyBorder="1" applyAlignment="1">
      <alignment horizontal="center"/>
    </xf>
    <xf numFmtId="0" fontId="12" fillId="0" borderId="1" xfId="1" applyFont="1" applyFill="1" applyBorder="1" applyAlignment="1"/>
    <xf numFmtId="0" fontId="15" fillId="0" borderId="0" xfId="1" applyFont="1" applyFill="1" applyBorder="1" applyAlignment="1">
      <alignment horizontal="center"/>
    </xf>
    <xf numFmtId="0" fontId="1" fillId="0" borderId="1" xfId="1" applyFont="1" applyFill="1" applyBorder="1"/>
    <xf numFmtId="0" fontId="5" fillId="0" borderId="1" xfId="1" applyFont="1" applyFill="1" applyBorder="1" applyAlignment="1"/>
    <xf numFmtId="0" fontId="3" fillId="0" borderId="0" xfId="1"/>
    <xf numFmtId="0" fontId="3" fillId="0" borderId="1" xfId="1" applyBorder="1"/>
    <xf numFmtId="0" fontId="19" fillId="0" borderId="1" xfId="1" applyFont="1" applyBorder="1"/>
    <xf numFmtId="0" fontId="11" fillId="0" borderId="1" xfId="1" applyFont="1" applyBorder="1"/>
    <xf numFmtId="0" fontId="2" fillId="0" borderId="6" xfId="1" applyFont="1" applyBorder="1"/>
    <xf numFmtId="14" fontId="10" fillId="0" borderId="1" xfId="1" applyNumberFormat="1" applyFont="1" applyBorder="1"/>
    <xf numFmtId="14" fontId="11" fillId="0" borderId="1" xfId="1" applyNumberFormat="1" applyFont="1" applyFill="1" applyBorder="1"/>
    <xf numFmtId="0" fontId="3" fillId="0" borderId="1" xfId="1" applyBorder="1" applyAlignment="1">
      <alignment vertical="top"/>
    </xf>
    <xf numFmtId="0" fontId="10" fillId="0" borderId="0" xfId="1" applyFont="1"/>
    <xf numFmtId="14" fontId="11" fillId="0" borderId="1" xfId="1" applyNumberFormat="1" applyFont="1" applyBorder="1"/>
    <xf numFmtId="0" fontId="3" fillId="0" borderId="6" xfId="1" applyBorder="1"/>
    <xf numFmtId="14" fontId="11" fillId="0" borderId="6" xfId="1" applyNumberFormat="1" applyFont="1" applyBorder="1"/>
    <xf numFmtId="0" fontId="3" fillId="0" borderId="7" xfId="1" applyBorder="1"/>
    <xf numFmtId="0" fontId="19" fillId="0" borderId="1" xfId="1" applyFont="1" applyFill="1" applyBorder="1" applyAlignment="1">
      <alignment textRotation="90"/>
    </xf>
    <xf numFmtId="0" fontId="19" fillId="0" borderId="7" xfId="1" applyFont="1" applyBorder="1" applyAlignment="1">
      <alignment textRotation="90"/>
    </xf>
    <xf numFmtId="0" fontId="19" fillId="0" borderId="7" xfId="1" applyFont="1" applyBorder="1" applyAlignment="1">
      <alignment horizontal="center" textRotation="90"/>
    </xf>
    <xf numFmtId="0" fontId="3" fillId="0" borderId="0" xfId="1" applyBorder="1" applyAlignment="1">
      <alignment horizontal="center"/>
    </xf>
    <xf numFmtId="0" fontId="3" fillId="0" borderId="20" xfId="1" applyBorder="1"/>
    <xf numFmtId="14" fontId="21" fillId="0" borderId="12" xfId="1" applyNumberFormat="1" applyFont="1" applyBorder="1" applyAlignment="1">
      <alignment horizontal="center" vertical="center"/>
    </xf>
    <xf numFmtId="14" fontId="21" fillId="0" borderId="1" xfId="1" applyNumberFormat="1" applyFont="1" applyFill="1" applyBorder="1"/>
    <xf numFmtId="0" fontId="3" fillId="0" borderId="3" xfId="1" applyBorder="1"/>
    <xf numFmtId="14" fontId="21" fillId="0" borderId="1" xfId="1" applyNumberFormat="1" applyFont="1" applyBorder="1"/>
    <xf numFmtId="0" fontId="3" fillId="0" borderId="21" xfId="1" applyFill="1" applyBorder="1"/>
    <xf numFmtId="0" fontId="3" fillId="0" borderId="22" xfId="1" applyBorder="1"/>
    <xf numFmtId="14" fontId="20" fillId="0" borderId="1" xfId="1" applyNumberFormat="1" applyFont="1" applyBorder="1"/>
    <xf numFmtId="0" fontId="2" fillId="0" borderId="1" xfId="1" applyFont="1" applyBorder="1"/>
    <xf numFmtId="0" fontId="3" fillId="0" borderId="5" xfId="1" applyBorder="1"/>
    <xf numFmtId="0" fontId="21" fillId="0" borderId="1" xfId="1" applyFont="1" applyBorder="1"/>
    <xf numFmtId="0" fontId="20" fillId="0" borderId="1" xfId="1" applyFont="1" applyBorder="1"/>
    <xf numFmtId="0" fontId="18" fillId="0" borderId="1" xfId="1" applyFont="1" applyBorder="1"/>
    <xf numFmtId="0" fontId="20" fillId="0" borderId="0" xfId="1" applyFont="1"/>
    <xf numFmtId="0" fontId="3" fillId="0" borderId="0" xfId="1" applyAlignment="1"/>
    <xf numFmtId="14" fontId="21" fillId="0" borderId="6" xfId="1" applyNumberFormat="1" applyFont="1" applyFill="1" applyBorder="1"/>
    <xf numFmtId="0" fontId="3" fillId="0" borderId="23" xfId="1" applyBorder="1"/>
    <xf numFmtId="14" fontId="21" fillId="0" borderId="7" xfId="1" applyNumberFormat="1" applyFont="1" applyBorder="1" applyAlignment="1">
      <alignment horizontal="center" vertical="center"/>
    </xf>
    <xf numFmtId="0" fontId="19" fillId="0" borderId="7" xfId="1" applyFont="1" applyFill="1" applyBorder="1" applyAlignment="1">
      <alignment textRotation="90"/>
    </xf>
    <xf numFmtId="0" fontId="21" fillId="0" borderId="7" xfId="1" applyFont="1" applyBorder="1" applyAlignment="1">
      <alignment horizontal="center"/>
    </xf>
    <xf numFmtId="0" fontId="1" fillId="0" borderId="1" xfId="1" applyFont="1" applyFill="1" applyBorder="1" applyAlignment="1">
      <alignment wrapText="1"/>
    </xf>
    <xf numFmtId="0" fontId="1" fillId="3" borderId="1" xfId="1" applyFont="1" applyFill="1" applyBorder="1" applyAlignment="1"/>
    <xf numFmtId="0" fontId="1" fillId="0" borderId="1" xfId="1" applyFont="1" applyFill="1" applyBorder="1" applyAlignment="1"/>
    <xf numFmtId="14" fontId="21" fillId="0" borderId="6" xfId="1" applyNumberFormat="1" applyFont="1" applyBorder="1"/>
    <xf numFmtId="14" fontId="21" fillId="0" borderId="10" xfId="1" applyNumberFormat="1" applyFont="1" applyBorder="1"/>
    <xf numFmtId="0" fontId="19" fillId="0" borderId="24" xfId="1" applyFont="1" applyBorder="1"/>
    <xf numFmtId="0" fontId="19" fillId="0" borderId="9" xfId="1" applyFont="1" applyBorder="1"/>
    <xf numFmtId="0" fontId="19" fillId="0" borderId="1" xfId="1" applyFont="1" applyFill="1" applyBorder="1"/>
    <xf numFmtId="14" fontId="21" fillId="0" borderId="21" xfId="1" applyNumberFormat="1" applyFont="1" applyBorder="1"/>
    <xf numFmtId="0" fontId="18" fillId="0" borderId="20" xfId="1" applyFont="1" applyBorder="1"/>
    <xf numFmtId="0" fontId="18" fillId="0" borderId="26" xfId="1" applyFont="1" applyBorder="1"/>
    <xf numFmtId="0" fontId="20" fillId="0" borderId="6" xfId="1" applyFont="1" applyBorder="1"/>
    <xf numFmtId="0" fontId="18" fillId="0" borderId="6" xfId="1" applyFont="1" applyBorder="1"/>
    <xf numFmtId="0" fontId="18" fillId="0" borderId="27" xfId="1" applyFont="1" applyBorder="1"/>
    <xf numFmtId="0" fontId="19" fillId="0" borderId="6" xfId="1" applyFont="1" applyBorder="1"/>
    <xf numFmtId="14" fontId="21" fillId="0" borderId="7" xfId="1" applyNumberFormat="1" applyFont="1" applyBorder="1" applyAlignment="1">
      <alignment horizontal="center"/>
    </xf>
    <xf numFmtId="0" fontId="21" fillId="0" borderId="7" xfId="1" applyFont="1" applyBorder="1" applyAlignment="1"/>
    <xf numFmtId="0" fontId="20" fillId="0" borderId="8" xfId="1" applyFont="1" applyBorder="1" applyAlignment="1">
      <alignment horizontal="center" vertical="center"/>
    </xf>
    <xf numFmtId="0" fontId="3" fillId="0" borderId="26" xfId="1" applyBorder="1"/>
    <xf numFmtId="0" fontId="3" fillId="0" borderId="27" xfId="1" applyBorder="1"/>
    <xf numFmtId="0" fontId="20" fillId="0" borderId="7" xfId="1" applyFont="1" applyBorder="1" applyAlignment="1">
      <alignment horizontal="center" vertical="center"/>
    </xf>
    <xf numFmtId="14" fontId="9" fillId="0" borderId="7" xfId="1" applyNumberFormat="1" applyFont="1" applyBorder="1" applyAlignment="1">
      <alignment horizontal="center" vertical="center" wrapText="1"/>
    </xf>
    <xf numFmtId="0" fontId="3" fillId="0" borderId="7" xfId="1" applyBorder="1" applyAlignment="1">
      <alignment horizontal="center" vertical="center"/>
    </xf>
    <xf numFmtId="0" fontId="15" fillId="0" borderId="18" xfId="1" applyFont="1" applyBorder="1" applyAlignment="1">
      <alignment horizontal="center"/>
    </xf>
    <xf numFmtId="0" fontId="20" fillId="0" borderId="8" xfId="1" applyFont="1" applyBorder="1" applyAlignment="1">
      <alignment horizontal="center"/>
    </xf>
    <xf numFmtId="0" fontId="21" fillId="0" borderId="6" xfId="1" applyNumberFormat="1" applyFont="1" applyBorder="1"/>
    <xf numFmtId="0" fontId="21" fillId="0" borderId="1" xfId="1" applyFont="1" applyFill="1" applyBorder="1"/>
    <xf numFmtId="0" fontId="2" fillId="0" borderId="30" xfId="1" applyFont="1" applyFill="1" applyBorder="1"/>
    <xf numFmtId="0" fontId="1" fillId="0" borderId="1" xfId="1" applyFont="1" applyBorder="1"/>
    <xf numFmtId="14" fontId="21" fillId="0" borderId="11" xfId="1" applyNumberFormat="1" applyFont="1" applyBorder="1" applyAlignment="1">
      <alignment horizontal="center" vertical="center"/>
    </xf>
    <xf numFmtId="0" fontId="20" fillId="0" borderId="7" xfId="1" applyFont="1" applyBorder="1" applyAlignment="1">
      <alignment horizontal="center"/>
    </xf>
    <xf numFmtId="14" fontId="21" fillId="0" borderId="1" xfId="1" applyNumberFormat="1" applyFont="1" applyBorder="1" applyAlignment="1">
      <alignment wrapText="1"/>
    </xf>
    <xf numFmtId="14" fontId="21" fillId="0" borderId="1" xfId="1" applyNumberFormat="1" applyFont="1" applyBorder="1" applyAlignment="1">
      <alignment horizontal="left" vertical="center" wrapText="1"/>
    </xf>
    <xf numFmtId="14" fontId="21" fillId="0" borderId="12" xfId="1" applyNumberFormat="1" applyFont="1" applyBorder="1" applyAlignment="1">
      <alignment horizontal="center" vertical="center" wrapText="1"/>
    </xf>
    <xf numFmtId="0" fontId="3" fillId="0" borderId="21" xfId="1" applyBorder="1"/>
    <xf numFmtId="0" fontId="3" fillId="0" borderId="25" xfId="1" applyBorder="1"/>
    <xf numFmtId="14" fontId="2" fillId="0" borderId="12" xfId="1" applyNumberFormat="1" applyFont="1" applyBorder="1" applyAlignment="1">
      <alignment horizontal="center" vertical="center"/>
    </xf>
    <xf numFmtId="0" fontId="2" fillId="0" borderId="8" xfId="1" applyFont="1" applyBorder="1" applyAlignment="1">
      <alignment horizontal="center"/>
    </xf>
    <xf numFmtId="14" fontId="19" fillId="0" borderId="6" xfId="1" applyNumberFormat="1" applyFont="1" applyBorder="1"/>
    <xf numFmtId="14" fontId="5" fillId="0" borderId="1" xfId="1" applyNumberFormat="1" applyFont="1" applyFill="1" applyBorder="1"/>
    <xf numFmtId="14" fontId="15" fillId="0" borderId="32" xfId="1" applyNumberFormat="1" applyFont="1" applyFill="1" applyBorder="1"/>
    <xf numFmtId="0" fontId="15" fillId="0" borderId="16" xfId="1" applyFont="1" applyBorder="1" applyAlignment="1">
      <alignment horizontal="center"/>
    </xf>
    <xf numFmtId="0" fontId="15" fillId="0" borderId="15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14" xfId="1" applyFont="1" applyBorder="1" applyAlignment="1">
      <alignment horizontal="center"/>
    </xf>
    <xf numFmtId="0" fontId="15" fillId="0" borderId="13" xfId="1" applyFont="1" applyBorder="1" applyAlignment="1">
      <alignment horizontal="center"/>
    </xf>
    <xf numFmtId="0" fontId="15" fillId="0" borderId="19" xfId="1" applyFont="1" applyBorder="1" applyAlignment="1">
      <alignment horizontal="center"/>
    </xf>
    <xf numFmtId="0" fontId="18" fillId="0" borderId="0" xfId="1" applyFont="1"/>
    <xf numFmtId="0" fontId="18" fillId="0" borderId="15" xfId="1" applyFont="1" applyBorder="1" applyAlignment="1">
      <alignment horizontal="center"/>
    </xf>
    <xf numFmtId="0" fontId="18" fillId="0" borderId="13" xfId="1" applyFont="1" applyBorder="1" applyAlignment="1">
      <alignment horizontal="center"/>
    </xf>
    <xf numFmtId="14" fontId="19" fillId="0" borderId="12" xfId="1" applyNumberFormat="1" applyFont="1" applyBorder="1" applyAlignment="1">
      <alignment horizontal="center" vertical="center" wrapText="1"/>
    </xf>
    <xf numFmtId="0" fontId="18" fillId="0" borderId="7" xfId="1" applyFont="1" applyBorder="1" applyAlignment="1">
      <alignment textRotation="90"/>
    </xf>
    <xf numFmtId="0" fontId="18" fillId="0" borderId="7" xfId="1" applyFont="1" applyBorder="1" applyAlignment="1">
      <alignment horizontal="center" textRotation="90"/>
    </xf>
    <xf numFmtId="0" fontId="18" fillId="0" borderId="28" xfId="1" applyFont="1" applyFill="1" applyBorder="1" applyAlignment="1">
      <alignment textRotation="90"/>
    </xf>
    <xf numFmtId="0" fontId="18" fillId="0" borderId="7" xfId="1" applyFont="1" applyBorder="1" applyAlignment="1">
      <alignment horizontal="center"/>
    </xf>
    <xf numFmtId="0" fontId="18" fillId="0" borderId="8" xfId="1" applyFont="1" applyBorder="1" applyAlignment="1">
      <alignment horizontal="center" vertical="center"/>
    </xf>
    <xf numFmtId="0" fontId="18" fillId="0" borderId="7" xfId="1" applyFont="1" applyBorder="1"/>
    <xf numFmtId="14" fontId="19" fillId="0" borderId="1" xfId="1" applyNumberFormat="1" applyFont="1" applyBorder="1"/>
    <xf numFmtId="0" fontId="24" fillId="0" borderId="0" xfId="2"/>
    <xf numFmtId="14" fontId="19" fillId="0" borderId="20" xfId="1" applyNumberFormat="1" applyFont="1" applyBorder="1"/>
    <xf numFmtId="0" fontId="19" fillId="0" borderId="20" xfId="1" applyFont="1" applyBorder="1"/>
    <xf numFmtId="0" fontId="19" fillId="0" borderId="10" xfId="1" applyFont="1" applyBorder="1"/>
    <xf numFmtId="0" fontId="19" fillId="0" borderId="31" xfId="1" applyFont="1" applyFill="1" applyBorder="1"/>
    <xf numFmtId="0" fontId="25" fillId="0" borderId="0" xfId="1" applyFont="1"/>
    <xf numFmtId="0" fontId="18" fillId="0" borderId="7" xfId="1" applyFont="1" applyBorder="1" applyAlignment="1">
      <alignment textRotation="90" wrapText="1"/>
    </xf>
    <xf numFmtId="0" fontId="18" fillId="0" borderId="7" xfId="1" applyFont="1" applyBorder="1" applyAlignment="1">
      <alignment horizontal="center" textRotation="90" wrapText="1"/>
    </xf>
    <xf numFmtId="0" fontId="18" fillId="0" borderId="28" xfId="1" applyFont="1" applyFill="1" applyBorder="1" applyAlignment="1">
      <alignment textRotation="90" wrapText="1"/>
    </xf>
    <xf numFmtId="17" fontId="19" fillId="0" borderId="6" xfId="1" applyNumberFormat="1" applyFont="1" applyBorder="1"/>
    <xf numFmtId="0" fontId="25" fillId="0" borderId="33" xfId="1" applyFont="1" applyBorder="1"/>
    <xf numFmtId="0" fontId="3" fillId="0" borderId="33" xfId="1" applyBorder="1" applyAlignment="1"/>
    <xf numFmtId="0" fontId="3" fillId="0" borderId="33" xfId="1" applyBorder="1"/>
    <xf numFmtId="0" fontId="18" fillId="0" borderId="1" xfId="1" applyFont="1" applyBorder="1" applyAlignment="1">
      <alignment horizontal="center"/>
    </xf>
    <xf numFmtId="0" fontId="18" fillId="0" borderId="1" xfId="1" applyFont="1" applyBorder="1" applyAlignment="1"/>
    <xf numFmtId="14" fontId="19" fillId="0" borderId="28" xfId="1" applyNumberFormat="1" applyFont="1" applyBorder="1" applyAlignment="1">
      <alignment horizontal="center" vertical="center" wrapText="1"/>
    </xf>
    <xf numFmtId="0" fontId="18" fillId="0" borderId="8" xfId="1" applyFont="1" applyBorder="1" applyAlignment="1">
      <alignment textRotation="90" wrapText="1"/>
    </xf>
    <xf numFmtId="0" fontId="18" fillId="0" borderId="8" xfId="1" applyFont="1" applyBorder="1" applyAlignment="1">
      <alignment horizontal="center" textRotation="90" wrapText="1"/>
    </xf>
    <xf numFmtId="0" fontId="18" fillId="0" borderId="8" xfId="1" applyFont="1" applyBorder="1" applyAlignment="1">
      <alignment horizontal="center"/>
    </xf>
    <xf numFmtId="0" fontId="2" fillId="0" borderId="24" xfId="1" applyFont="1" applyBorder="1"/>
    <xf numFmtId="0" fontId="2" fillId="0" borderId="9" xfId="1" applyFont="1" applyBorder="1"/>
    <xf numFmtId="0" fontId="2" fillId="0" borderId="9" xfId="1" applyFont="1" applyFill="1" applyBorder="1"/>
    <xf numFmtId="0" fontId="2" fillId="0" borderId="23" xfId="1" applyFont="1" applyBorder="1"/>
    <xf numFmtId="0" fontId="2" fillId="2" borderId="9" xfId="1" applyFont="1" applyFill="1" applyBorder="1"/>
    <xf numFmtId="0" fontId="2" fillId="0" borderId="29" xfId="1" applyFont="1" applyBorder="1"/>
    <xf numFmtId="0" fontId="2" fillId="0" borderId="3" xfId="1" applyFont="1" applyBorder="1"/>
    <xf numFmtId="0" fontId="2" fillId="0" borderId="30" xfId="1" applyFont="1" applyBorder="1"/>
    <xf numFmtId="0" fontId="26" fillId="0" borderId="1" xfId="1" applyFont="1" applyFill="1" applyBorder="1" applyAlignment="1">
      <alignment horizontal="center"/>
    </xf>
    <xf numFmtId="0" fontId="26" fillId="0" borderId="1" xfId="1" applyFont="1" applyBorder="1"/>
    <xf numFmtId="0" fontId="6" fillId="0" borderId="1" xfId="1" applyFont="1" applyBorder="1"/>
    <xf numFmtId="0" fontId="27" fillId="0" borderId="1" xfId="1" applyFont="1" applyBorder="1"/>
    <xf numFmtId="14" fontId="27" fillId="0" borderId="21" xfId="1" applyNumberFormat="1" applyFont="1" applyBorder="1"/>
    <xf numFmtId="14" fontId="27" fillId="0" borderId="10" xfId="1" applyNumberFormat="1" applyFont="1" applyBorder="1"/>
    <xf numFmtId="0" fontId="1" fillId="2" borderId="1" xfId="1" applyFont="1" applyFill="1" applyBorder="1" applyAlignment="1"/>
    <xf numFmtId="0" fontId="20" fillId="0" borderId="0" xfId="1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 vertical="center" wrapText="1"/>
    </xf>
    <xf numFmtId="0" fontId="20" fillId="0" borderId="1" xfId="1" applyFont="1" applyBorder="1" applyAlignment="1">
      <alignment vertical="top" wrapText="1"/>
    </xf>
    <xf numFmtId="0" fontId="29" fillId="0" borderId="1" xfId="1" applyFont="1" applyBorder="1" applyAlignment="1">
      <alignment horizontal="center" vertical="center" wrapText="1"/>
    </xf>
    <xf numFmtId="0" fontId="3" fillId="0" borderId="1" xfId="1" applyBorder="1" applyAlignment="1">
      <alignment horizontal="center"/>
    </xf>
    <xf numFmtId="0" fontId="1" fillId="0" borderId="21" xfId="1" applyFont="1" applyBorder="1"/>
    <xf numFmtId="0" fontId="1" fillId="0" borderId="25" xfId="1" applyFont="1" applyBorder="1"/>
    <xf numFmtId="0" fontId="1" fillId="0" borderId="20" xfId="1" applyFont="1" applyBorder="1"/>
    <xf numFmtId="0" fontId="1" fillId="0" borderId="26" xfId="1" applyFont="1" applyBorder="1"/>
    <xf numFmtId="0" fontId="3" fillId="0" borderId="12" xfId="1" applyBorder="1"/>
    <xf numFmtId="0" fontId="0" fillId="0" borderId="1" xfId="0" applyBorder="1"/>
    <xf numFmtId="0" fontId="0" fillId="0" borderId="33" xfId="0" applyBorder="1"/>
    <xf numFmtId="0" fontId="3" fillId="0" borderId="1" xfId="1" applyNumberFormat="1" applyBorder="1"/>
    <xf numFmtId="0" fontId="3" fillId="0" borderId="34" xfId="1" applyNumberFormat="1" applyBorder="1"/>
    <xf numFmtId="0" fontId="3" fillId="0" borderId="6" xfId="1" applyNumberFormat="1" applyBorder="1"/>
    <xf numFmtId="0" fontId="0" fillId="0" borderId="1" xfId="0" applyNumberFormat="1" applyBorder="1"/>
    <xf numFmtId="0" fontId="30" fillId="0" borderId="1" xfId="1" applyNumberFormat="1" applyFont="1" applyBorder="1"/>
    <xf numFmtId="0" fontId="1" fillId="0" borderId="1" xfId="1" applyNumberFormat="1" applyFont="1" applyBorder="1"/>
    <xf numFmtId="0" fontId="3" fillId="0" borderId="12" xfId="1" applyNumberFormat="1" applyBorder="1"/>
    <xf numFmtId="0" fontId="30" fillId="0" borderId="34" xfId="1" applyNumberFormat="1" applyFont="1" applyFill="1" applyBorder="1"/>
    <xf numFmtId="0" fontId="30" fillId="0" borderId="6" xfId="1" applyNumberFormat="1" applyFont="1" applyFill="1" applyBorder="1"/>
    <xf numFmtId="0" fontId="30" fillId="0" borderId="1" xfId="1" applyNumberFormat="1" applyFont="1" applyFill="1" applyBorder="1"/>
    <xf numFmtId="0" fontId="2" fillId="0" borderId="1" xfId="1" applyNumberFormat="1" applyFont="1" applyBorder="1"/>
    <xf numFmtId="14" fontId="5" fillId="0" borderId="1" xfId="1" applyNumberFormat="1" applyFont="1" applyBorder="1"/>
    <xf numFmtId="0" fontId="7" fillId="0" borderId="1" xfId="1" applyNumberFormat="1" applyFont="1" applyBorder="1"/>
    <xf numFmtId="0" fontId="7" fillId="0" borderId="1" xfId="1" applyFont="1" applyBorder="1"/>
    <xf numFmtId="0" fontId="31" fillId="0" borderId="1" xfId="1" applyNumberFormat="1" applyFont="1" applyBorder="1"/>
    <xf numFmtId="0" fontId="7" fillId="0" borderId="34" xfId="1" applyNumberFormat="1" applyFont="1" applyBorder="1"/>
    <xf numFmtId="0" fontId="7" fillId="0" borderId="34" xfId="1" applyFont="1" applyBorder="1"/>
    <xf numFmtId="0" fontId="7" fillId="0" borderId="6" xfId="1" applyNumberFormat="1" applyFont="1" applyBorder="1"/>
    <xf numFmtId="0" fontId="7" fillId="0" borderId="6" xfId="1" applyFont="1" applyBorder="1"/>
    <xf numFmtId="0" fontId="7" fillId="0" borderId="1" xfId="0" applyNumberFormat="1" applyFont="1" applyBorder="1"/>
    <xf numFmtId="0" fontId="7" fillId="0" borderId="1" xfId="0" applyFont="1" applyBorder="1"/>
    <xf numFmtId="0" fontId="1" fillId="0" borderId="1" xfId="1" applyNumberFormat="1" applyFont="1" applyFill="1" applyBorder="1"/>
    <xf numFmtId="0" fontId="32" fillId="0" borderId="1" xfId="0" applyNumberFormat="1" applyFont="1" applyBorder="1"/>
    <xf numFmtId="0" fontId="3" fillId="0" borderId="0" xfId="1" applyNumberFormat="1" applyBorder="1"/>
    <xf numFmtId="0" fontId="7" fillId="0" borderId="1" xfId="1" applyNumberFormat="1" applyFont="1" applyBorder="1" applyAlignment="1">
      <alignment horizontal="center"/>
    </xf>
    <xf numFmtId="0" fontId="9" fillId="0" borderId="36" xfId="1" applyFont="1" applyBorder="1" applyAlignment="1">
      <alignment horizontal="left" textRotation="90"/>
    </xf>
    <xf numFmtId="0" fontId="9" fillId="0" borderId="36" xfId="1" applyFont="1" applyFill="1" applyBorder="1" applyAlignment="1">
      <alignment horizontal="left" textRotation="90"/>
    </xf>
    <xf numFmtId="0" fontId="9" fillId="0" borderId="37" xfId="1" applyFont="1" applyFill="1" applyBorder="1" applyAlignment="1">
      <alignment horizontal="left" textRotation="90"/>
    </xf>
    <xf numFmtId="0" fontId="3" fillId="0" borderId="38" xfId="1" applyNumberFormat="1" applyBorder="1"/>
    <xf numFmtId="0" fontId="3" fillId="0" borderId="18" xfId="1" applyNumberFormat="1" applyBorder="1"/>
    <xf numFmtId="0" fontId="3" fillId="0" borderId="39" xfId="1" applyBorder="1"/>
    <xf numFmtId="0" fontId="3" fillId="0" borderId="39" xfId="1" applyNumberFormat="1" applyBorder="1"/>
    <xf numFmtId="0" fontId="30" fillId="0" borderId="6" xfId="1" applyNumberFormat="1" applyFont="1" applyBorder="1"/>
    <xf numFmtId="0" fontId="7" fillId="0" borderId="35" xfId="1" applyNumberFormat="1" applyFont="1" applyBorder="1" applyAlignment="1">
      <alignment horizontal="center"/>
    </xf>
    <xf numFmtId="0" fontId="7" fillId="0" borderId="35" xfId="1" applyFont="1" applyBorder="1"/>
    <xf numFmtId="0" fontId="7" fillId="0" borderId="35" xfId="1" applyNumberFormat="1" applyFont="1" applyBorder="1"/>
    <xf numFmtId="0" fontId="3" fillId="0" borderId="35" xfId="1" applyNumberFormat="1" applyBorder="1"/>
    <xf numFmtId="14" fontId="0" fillId="0" borderId="20" xfId="0" applyNumberFormat="1" applyBorder="1"/>
    <xf numFmtId="0" fontId="0" fillId="0" borderId="1" xfId="1" applyFont="1" applyFill="1" applyBorder="1"/>
    <xf numFmtId="0" fontId="18" fillId="0" borderId="1" xfId="0" applyFont="1" applyBorder="1"/>
    <xf numFmtId="0" fontId="14" fillId="0" borderId="1" xfId="0" applyFont="1" applyBorder="1"/>
    <xf numFmtId="0" fontId="32" fillId="0" borderId="1" xfId="1" applyFont="1" applyFill="1" applyBorder="1"/>
    <xf numFmtId="14" fontId="0" fillId="0" borderId="0" xfId="0" applyNumberFormat="1"/>
    <xf numFmtId="14" fontId="3" fillId="0" borderId="7" xfId="1" applyNumberFormat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0" xfId="1" applyBorder="1" applyAlignment="1">
      <alignment horizontal="center"/>
    </xf>
    <xf numFmtId="0" fontId="18" fillId="0" borderId="7" xfId="1" applyFont="1" applyBorder="1" applyAlignment="1">
      <alignment horizontal="center"/>
    </xf>
    <xf numFmtId="0" fontId="0" fillId="0" borderId="7" xfId="0" applyBorder="1" applyAlignment="1"/>
    <xf numFmtId="0" fontId="20" fillId="0" borderId="7" xfId="1" applyFont="1" applyBorder="1" applyAlignment="1">
      <alignment horizontal="center"/>
    </xf>
    <xf numFmtId="0" fontId="20" fillId="0" borderId="1" xfId="1" applyFont="1" applyBorder="1" applyAlignment="1">
      <alignment horizontal="center"/>
    </xf>
    <xf numFmtId="0" fontId="23" fillId="0" borderId="1" xfId="1" applyFont="1" applyBorder="1" applyAlignment="1">
      <alignment horizontal="center"/>
    </xf>
    <xf numFmtId="0" fontId="18" fillId="0" borderId="7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20" fillId="0" borderId="12" xfId="1" applyFont="1" applyBorder="1" applyAlignment="1">
      <alignment horizontal="center"/>
    </xf>
    <xf numFmtId="0" fontId="20" fillId="0" borderId="8" xfId="1" applyFont="1" applyBorder="1" applyAlignment="1">
      <alignment horizontal="center"/>
    </xf>
    <xf numFmtId="0" fontId="22" fillId="0" borderId="7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8" fillId="0" borderId="1" xfId="1" applyFont="1" applyBorder="1" applyAlignment="1">
      <alignment horizontal="center"/>
    </xf>
    <xf numFmtId="14" fontId="18" fillId="0" borderId="12" xfId="1" applyNumberFormat="1" applyFont="1" applyBorder="1" applyAlignment="1">
      <alignment horizontal="center"/>
    </xf>
    <xf numFmtId="0" fontId="18" fillId="0" borderId="8" xfId="1" applyFont="1" applyBorder="1" applyAlignment="1">
      <alignment horizontal="center"/>
    </xf>
    <xf numFmtId="0" fontId="19" fillId="0" borderId="15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/>
    <xf numFmtId="0" fontId="18" fillId="0" borderId="8" xfId="1" applyFont="1" applyBorder="1" applyAlignment="1"/>
    <xf numFmtId="0" fontId="2" fillId="0" borderId="3" xfId="1" applyFont="1" applyFill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horizontal="center"/>
    </xf>
    <xf numFmtId="14" fontId="2" fillId="0" borderId="2" xfId="1" applyNumberFormat="1" applyFont="1" applyFill="1" applyBorder="1" applyAlignment="1">
      <alignment horizontal="center"/>
    </xf>
    <xf numFmtId="14" fontId="2" fillId="0" borderId="0" xfId="1" applyNumberFormat="1" applyFont="1" applyFill="1" applyAlignment="1">
      <alignment horizontal="center"/>
    </xf>
    <xf numFmtId="0" fontId="3" fillId="0" borderId="12" xfId="1" applyBorder="1" applyAlignment="1">
      <alignment horizontal="center"/>
    </xf>
    <xf numFmtId="0" fontId="3" fillId="0" borderId="8" xfId="1" applyBorder="1" applyAlignment="1">
      <alignment horizontal="center"/>
    </xf>
    <xf numFmtId="0" fontId="18" fillId="0" borderId="16" xfId="1" applyFont="1" applyBorder="1" applyAlignment="1">
      <alignment horizontal="center"/>
    </xf>
    <xf numFmtId="0" fontId="3" fillId="0" borderId="15" xfId="1" applyBorder="1" applyAlignment="1">
      <alignment horizontal="center"/>
    </xf>
    <xf numFmtId="0" fontId="3" fillId="0" borderId="17" xfId="1" applyBorder="1" applyAlignment="1">
      <alignment horizontal="center"/>
    </xf>
    <xf numFmtId="0" fontId="3" fillId="0" borderId="14" xfId="1" applyBorder="1" applyAlignment="1">
      <alignment horizontal="center"/>
    </xf>
    <xf numFmtId="0" fontId="3" fillId="0" borderId="13" xfId="1" applyBorder="1" applyAlignment="1">
      <alignment horizontal="center"/>
    </xf>
    <xf numFmtId="0" fontId="3" fillId="0" borderId="19" xfId="1" applyBorder="1" applyAlignment="1">
      <alignment horizontal="center"/>
    </xf>
    <xf numFmtId="14" fontId="21" fillId="0" borderId="22" xfId="1" applyNumberFormat="1" applyFont="1" applyBorder="1" applyAlignment="1">
      <alignment horizontal="center" vertical="center"/>
    </xf>
    <xf numFmtId="14" fontId="21" fillId="0" borderId="2" xfId="1" applyNumberFormat="1" applyFont="1" applyBorder="1" applyAlignment="1">
      <alignment horizontal="center" vertical="center"/>
    </xf>
    <xf numFmtId="14" fontId="21" fillId="0" borderId="23" xfId="1" applyNumberFormat="1" applyFont="1" applyBorder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M30"/>
  <sheetViews>
    <sheetView zoomScale="130" zoomScaleNormal="13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3.6640625" style="30" customWidth="1"/>
    <col min="2" max="37" width="3.6640625" style="30" customWidth="1"/>
    <col min="38" max="38" width="6.88671875" style="30" customWidth="1"/>
    <col min="39" max="16384" width="8.88671875" style="30"/>
  </cols>
  <sheetData>
    <row r="1" spans="1:39" ht="15" thickBot="1" x14ac:dyDescent="0.35">
      <c r="A1" s="214"/>
      <c r="B1" s="218" t="s">
        <v>61</v>
      </c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</row>
    <row r="2" spans="1:39" ht="15" thickBot="1" x14ac:dyDescent="0.35">
      <c r="A2" s="215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</row>
    <row r="3" spans="1:39" ht="137.25" customHeight="1" thickBot="1" x14ac:dyDescent="0.35">
      <c r="A3" s="88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65"/>
      <c r="AK3" s="65"/>
      <c r="AL3" s="65" t="s">
        <v>59</v>
      </c>
    </row>
    <row r="4" spans="1:39" ht="15" thickBot="1" x14ac:dyDescent="0.35">
      <c r="A4" s="89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42"/>
      <c r="AK4" s="42"/>
      <c r="AL4" s="42"/>
    </row>
    <row r="5" spans="1:39" x14ac:dyDescent="0.3">
      <c r="A5" s="41" t="s">
        <v>58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>
        <f>SUMPRODUCT(B4:AK4,B5:AK5)</f>
        <v>0</v>
      </c>
    </row>
    <row r="6" spans="1:39" x14ac:dyDescent="0.3">
      <c r="A6" s="39" t="s">
        <v>57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>
        <f>SUMPRODUCT(B4:AK4,B6:AK6)</f>
        <v>0</v>
      </c>
    </row>
    <row r="7" spans="1:39" x14ac:dyDescent="0.3">
      <c r="A7" s="39" t="s">
        <v>56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>
        <f>SUMPRODUCT(B4:AK4,B7:AK7)</f>
        <v>0</v>
      </c>
    </row>
    <row r="8" spans="1:39" x14ac:dyDescent="0.3">
      <c r="A8" s="38" t="s">
        <v>55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1">
        <f>SUMPRODUCT(B4:AK4,B8:AK8)</f>
        <v>0</v>
      </c>
    </row>
    <row r="9" spans="1:39" x14ac:dyDescent="0.3">
      <c r="A9" s="36" t="s">
        <v>54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>
        <f>SUMPRODUCT(B4:AK4,B9:AK9)</f>
        <v>0</v>
      </c>
    </row>
    <row r="10" spans="1:39" x14ac:dyDescent="0.3">
      <c r="A10" s="36" t="s">
        <v>53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>
        <f>SUMPRODUCT(B4:AK4,B10:AK10)</f>
        <v>0</v>
      </c>
    </row>
    <row r="11" spans="1:39" x14ac:dyDescent="0.3">
      <c r="A11" s="36" t="s">
        <v>52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>
        <f>SUMPRODUCT(B4:AK4,B11:AK11)</f>
        <v>0</v>
      </c>
    </row>
    <row r="12" spans="1:39" x14ac:dyDescent="0.3">
      <c r="A12" s="36" t="s">
        <v>51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>
        <f>SUMPRODUCT(B4:AK4,B12:AK12)</f>
        <v>0</v>
      </c>
    </row>
    <row r="13" spans="1:39" x14ac:dyDescent="0.3">
      <c r="A13" s="36" t="s">
        <v>50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>
        <f>SUMPRODUCT(B4:AK4,B13:AK13)</f>
        <v>0</v>
      </c>
    </row>
    <row r="14" spans="1:39" x14ac:dyDescent="0.3">
      <c r="A14" s="36" t="s">
        <v>49</v>
      </c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>
        <f>SUMPRODUCT(B4:AK4,B14:AK14)</f>
        <v>0</v>
      </c>
      <c r="AM14" s="30" t="s">
        <v>40</v>
      </c>
    </row>
    <row r="15" spans="1:39" x14ac:dyDescent="0.3">
      <c r="A15" s="36" t="s">
        <v>48</v>
      </c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>
        <f>SUMPRODUCT(B4:AK4,B15:AK15)</f>
        <v>0</v>
      </c>
    </row>
    <row r="16" spans="1:39" x14ac:dyDescent="0.3">
      <c r="A16" s="36" t="s">
        <v>47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1"/>
      <c r="AC16" s="31"/>
      <c r="AD16" s="31"/>
      <c r="AE16" s="31"/>
      <c r="AF16" s="37"/>
      <c r="AG16" s="37"/>
      <c r="AH16" s="31"/>
      <c r="AI16" s="31"/>
      <c r="AJ16" s="31"/>
      <c r="AK16" s="31"/>
      <c r="AL16" s="31">
        <f>SUMPRODUCT(B4:AK4,B16:AK16)</f>
        <v>0</v>
      </c>
    </row>
    <row r="17" spans="1:38" x14ac:dyDescent="0.3">
      <c r="A17" s="36" t="s">
        <v>46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>
        <f>SUMPRODUCT(B4:AK4,B17:AK17)</f>
        <v>0</v>
      </c>
    </row>
    <row r="18" spans="1:38" x14ac:dyDescent="0.3">
      <c r="A18" s="36" t="s">
        <v>45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>
        <f>SUMPRODUCT(B4:AK4,B18:AK18)</f>
        <v>0</v>
      </c>
    </row>
    <row r="19" spans="1:38" x14ac:dyDescent="0.3">
      <c r="A19" s="36" t="s">
        <v>44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>
        <f>SUMPRODUCT(B4:AK4,B19:AK19)</f>
        <v>0</v>
      </c>
    </row>
    <row r="20" spans="1:38" x14ac:dyDescent="0.3">
      <c r="A20" s="36" t="s">
        <v>43</v>
      </c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>
        <f>SUMPRODUCT(B4:AK4,B20:AK20)</f>
        <v>0</v>
      </c>
    </row>
    <row r="21" spans="1:38" x14ac:dyDescent="0.3">
      <c r="A21" s="35" t="s">
        <v>42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>
        <f>SUMPRODUCT(B4:AK4,B21:AK21)</f>
        <v>0</v>
      </c>
    </row>
    <row r="22" spans="1:38" x14ac:dyDescent="0.3">
      <c r="A22" s="35" t="s">
        <v>41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>
        <f>SUMPRODUCT(B4:AK4,B22:AK22)</f>
        <v>0</v>
      </c>
    </row>
    <row r="23" spans="1:38" x14ac:dyDescent="0.3">
      <c r="A23" s="35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>
        <f>SUMPRODUCT(B4:AK4,B23:AK23)</f>
        <v>0</v>
      </c>
    </row>
    <row r="24" spans="1:38" ht="18" x14ac:dyDescent="0.35">
      <c r="A24" s="33" t="s">
        <v>163</v>
      </c>
      <c r="B24" s="55">
        <f t="shared" ref="B24:AA24" si="0">SUM(B5:B23)</f>
        <v>0</v>
      </c>
      <c r="C24" s="55">
        <f t="shared" si="0"/>
        <v>0</v>
      </c>
      <c r="D24" s="55">
        <f t="shared" si="0"/>
        <v>0</v>
      </c>
      <c r="E24" s="55">
        <f t="shared" si="0"/>
        <v>0</v>
      </c>
      <c r="F24" s="55">
        <f t="shared" si="0"/>
        <v>0</v>
      </c>
      <c r="G24" s="55">
        <f t="shared" si="0"/>
        <v>0</v>
      </c>
      <c r="H24" s="55">
        <f t="shared" si="0"/>
        <v>0</v>
      </c>
      <c r="I24" s="55">
        <f t="shared" si="0"/>
        <v>0</v>
      </c>
      <c r="J24" s="55">
        <f t="shared" si="0"/>
        <v>0</v>
      </c>
      <c r="K24" s="55">
        <f t="shared" si="0"/>
        <v>0</v>
      </c>
      <c r="L24" s="55">
        <f t="shared" si="0"/>
        <v>0</v>
      </c>
      <c r="M24" s="55">
        <f t="shared" si="0"/>
        <v>0</v>
      </c>
      <c r="N24" s="55">
        <f t="shared" si="0"/>
        <v>0</v>
      </c>
      <c r="O24" s="55">
        <f t="shared" si="0"/>
        <v>0</v>
      </c>
      <c r="P24" s="55">
        <f t="shared" si="0"/>
        <v>0</v>
      </c>
      <c r="Q24" s="55">
        <f t="shared" si="0"/>
        <v>0</v>
      </c>
      <c r="R24" s="55">
        <f t="shared" si="0"/>
        <v>0</v>
      </c>
      <c r="S24" s="55">
        <f t="shared" si="0"/>
        <v>0</v>
      </c>
      <c r="T24" s="55">
        <f t="shared" si="0"/>
        <v>0</v>
      </c>
      <c r="U24" s="55">
        <f t="shared" si="0"/>
        <v>0</v>
      </c>
      <c r="V24" s="55">
        <f t="shared" si="0"/>
        <v>0</v>
      </c>
      <c r="W24" s="55">
        <f t="shared" si="0"/>
        <v>0</v>
      </c>
      <c r="X24" s="55">
        <f t="shared" si="0"/>
        <v>0</v>
      </c>
      <c r="Y24" s="55">
        <f t="shared" si="0"/>
        <v>0</v>
      </c>
      <c r="Z24" s="55">
        <f t="shared" si="0"/>
        <v>0</v>
      </c>
      <c r="AA24" s="55">
        <f t="shared" si="0"/>
        <v>0</v>
      </c>
      <c r="AB24" s="5">
        <f>SUM(AB5:AB21)</f>
        <v>0</v>
      </c>
      <c r="AC24" s="55">
        <f>SUM(AC6:AC23)</f>
        <v>0</v>
      </c>
      <c r="AD24" s="55">
        <f>SUM(AD5:AD23)</f>
        <v>0</v>
      </c>
      <c r="AE24" s="55">
        <f>SUM(AE5:AE23)</f>
        <v>0</v>
      </c>
      <c r="AF24" s="55">
        <f>SUM(AF5:AF23)</f>
        <v>0</v>
      </c>
      <c r="AG24" s="55">
        <f>SUM(AG5:AG23)</f>
        <v>0</v>
      </c>
      <c r="AH24" s="55">
        <f>SUM(AH5:AH23)</f>
        <v>0</v>
      </c>
      <c r="AI24" s="32">
        <f>SUM(AI5:AI21)</f>
        <v>0</v>
      </c>
      <c r="AJ24" s="32">
        <f>SUM(AJ5:AJ21)</f>
        <v>0</v>
      </c>
      <c r="AK24" s="32">
        <f>SUM(AK5:AK21)</f>
        <v>0</v>
      </c>
      <c r="AL24" s="31">
        <f>SUM(AL5:AL23)</f>
        <v>0</v>
      </c>
    </row>
    <row r="25" spans="1:38" x14ac:dyDescent="0.3">
      <c r="A25" s="33" t="s">
        <v>39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95"/>
      <c r="AI25" s="95"/>
      <c r="AJ25" s="95"/>
      <c r="AK25" s="95"/>
      <c r="AL25" s="31"/>
    </row>
    <row r="26" spans="1:38" ht="19.95" customHeight="1" x14ac:dyDescent="0.3">
      <c r="A26" s="31" t="s">
        <v>162</v>
      </c>
      <c r="B26" s="161"/>
      <c r="C26" s="162" t="str">
        <f>INT((C24+C25)/14)&amp; "/14 + " &amp; (C24+C25)-INT((C24+C25)/14)*14</f>
        <v>0/14 + 0</v>
      </c>
      <c r="D26" s="162" t="str">
        <f>INT((D24+D25)/14)&amp; "/14 + " &amp; (D24+D25)-INT((D24+D25)/14)*14</f>
        <v>0/14 + 0</v>
      </c>
      <c r="E26" s="31"/>
      <c r="F26" s="31"/>
      <c r="G26" s="31"/>
      <c r="H26" s="31"/>
      <c r="I26" s="31"/>
      <c r="J26" s="31"/>
      <c r="K26" s="31"/>
      <c r="L26" s="31"/>
      <c r="M26" s="31"/>
      <c r="N26" s="162" t="str">
        <f>INT((N24+N25)/14)&amp; "/14 + " &amp; (N24+N25)-INT((N24+N25)/14)*14</f>
        <v>0/14 + 0</v>
      </c>
      <c r="O26" s="162" t="str">
        <f>INT((O24+O25)/14)&amp; "/14 + " &amp; (O24+O25)-INT((O24+O25)/14)*14</f>
        <v>0/14 + 0</v>
      </c>
      <c r="P26" s="162" t="str">
        <f>INT((P24+P25)/14)&amp; "/14 + " &amp; (P24+P25)-INT((P24+P25)/14)*14</f>
        <v>0/14 + 0</v>
      </c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1:38" x14ac:dyDescent="0.3">
      <c r="B27" s="159"/>
      <c r="C27" s="160"/>
      <c r="D27" s="160"/>
      <c r="G27" s="216"/>
      <c r="H27" s="216"/>
    </row>
    <row r="30" spans="1:38" x14ac:dyDescent="0.3">
      <c r="B30" s="217"/>
      <c r="C30" s="217"/>
      <c r="G30" s="217"/>
      <c r="H30" s="217"/>
    </row>
  </sheetData>
  <mergeCells count="5">
    <mergeCell ref="A1:A2"/>
    <mergeCell ref="G27:H27"/>
    <mergeCell ref="B30:C30"/>
    <mergeCell ref="G30:H30"/>
    <mergeCell ref="B1:AL2"/>
  </mergeCells>
  <pageMargins left="0" right="0" top="0" bottom="0" header="0" footer="0"/>
  <pageSetup paperSize="9" scale="87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AJ27"/>
  <sheetViews>
    <sheetView zoomScale="130" zoomScaleNormal="13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1.88671875" style="60" customWidth="1"/>
    <col min="2" max="35" width="3.6640625" style="30" customWidth="1"/>
    <col min="36" max="36" width="6.5546875" style="30" customWidth="1"/>
    <col min="37" max="38" width="3.6640625" style="30" customWidth="1"/>
    <col min="39" max="39" width="3.33203125" style="30" customWidth="1"/>
    <col min="40" max="16384" width="8.88671875" style="30"/>
  </cols>
  <sheetData>
    <row r="1" spans="1:36" ht="15" thickBot="1" x14ac:dyDescent="0.35">
      <c r="A1" s="220" t="s">
        <v>63</v>
      </c>
      <c r="B1" s="218" t="s">
        <v>64</v>
      </c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</row>
    <row r="2" spans="1:36" ht="15" thickBot="1" x14ac:dyDescent="0.35">
      <c r="A2" s="220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</row>
    <row r="3" spans="1:36" ht="130.5" customHeight="1" thickBot="1" x14ac:dyDescent="0.35">
      <c r="A3" s="64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65" t="s">
        <v>59</v>
      </c>
    </row>
    <row r="4" spans="1:36" ht="15" thickBot="1" x14ac:dyDescent="0.35">
      <c r="A4" s="66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42"/>
    </row>
    <row r="5" spans="1:36" x14ac:dyDescent="0.3">
      <c r="A5" s="62" t="s">
        <v>65</v>
      </c>
      <c r="B5" s="40"/>
      <c r="C5" s="40"/>
      <c r="D5" s="40"/>
      <c r="E5" s="40"/>
      <c r="F5" s="40"/>
      <c r="G5" s="40"/>
      <c r="H5" s="40"/>
      <c r="I5" s="63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63"/>
      <c r="X5" s="63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>
        <f>SUMPRODUCT(B4:AI4,B5:AI5)</f>
        <v>0</v>
      </c>
    </row>
    <row r="6" spans="1:36" x14ac:dyDescent="0.3">
      <c r="A6" s="49" t="s">
        <v>66</v>
      </c>
      <c r="B6" s="31"/>
      <c r="C6" s="31"/>
      <c r="D6" s="31"/>
      <c r="E6" s="31"/>
      <c r="F6" s="31"/>
      <c r="G6" s="31"/>
      <c r="H6" s="31"/>
      <c r="I6" s="5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50"/>
      <c r="X6" s="50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>
        <f>SUMPRODUCT(B4:AI4,B6:AI6)</f>
        <v>0</v>
      </c>
    </row>
    <row r="7" spans="1:36" x14ac:dyDescent="0.3">
      <c r="A7" s="49" t="s">
        <v>67</v>
      </c>
      <c r="B7" s="31"/>
      <c r="C7" s="31"/>
      <c r="D7" s="31"/>
      <c r="E7" s="31"/>
      <c r="F7" s="31"/>
      <c r="G7" s="31"/>
      <c r="H7" s="31"/>
      <c r="I7" s="5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50"/>
      <c r="X7" s="50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>
        <f>SUMPRODUCT(B4:AI4,B7:AI7)</f>
        <v>0</v>
      </c>
    </row>
    <row r="8" spans="1:36" x14ac:dyDescent="0.3">
      <c r="A8" s="49" t="s">
        <v>68</v>
      </c>
      <c r="B8" s="31"/>
      <c r="C8" s="31"/>
      <c r="D8" s="31"/>
      <c r="E8" s="31"/>
      <c r="F8" s="31"/>
      <c r="G8" s="31"/>
      <c r="H8" s="31"/>
      <c r="I8" s="5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50"/>
      <c r="X8" s="50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>
        <f>SUMPRODUCT(B4:AI4,B8:AI8)</f>
        <v>0</v>
      </c>
    </row>
    <row r="9" spans="1:36" x14ac:dyDescent="0.3">
      <c r="A9" s="49" t="s">
        <v>69</v>
      </c>
      <c r="B9" s="31"/>
      <c r="C9" s="31"/>
      <c r="D9" s="31"/>
      <c r="E9" s="31"/>
      <c r="F9" s="31"/>
      <c r="G9" s="31"/>
      <c r="H9" s="31"/>
      <c r="I9" s="5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50"/>
      <c r="X9" s="50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>
        <f>SUMPRODUCT(B4:AI4,B9:AI9)</f>
        <v>0</v>
      </c>
    </row>
    <row r="10" spans="1:36" x14ac:dyDescent="0.3">
      <c r="A10" s="49" t="s">
        <v>70</v>
      </c>
      <c r="B10" s="31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50"/>
      <c r="X10" s="50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>
        <f>SUMPRODUCT(B4:AI4,B10:AI10)</f>
        <v>0</v>
      </c>
    </row>
    <row r="11" spans="1:36" x14ac:dyDescent="0.3">
      <c r="A11" s="49" t="s">
        <v>71</v>
      </c>
      <c r="B11" s="31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50"/>
      <c r="X11" s="50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>
        <f>SUMPRODUCT(B4:AI4,B11:AI11)</f>
        <v>0</v>
      </c>
    </row>
    <row r="12" spans="1:36" x14ac:dyDescent="0.3">
      <c r="A12" s="49" t="s">
        <v>72</v>
      </c>
      <c r="B12" s="31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50"/>
      <c r="X12" s="50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>
        <f>SUMPRODUCT(B4:AI4,B12:AI12)</f>
        <v>0</v>
      </c>
    </row>
    <row r="13" spans="1:36" x14ac:dyDescent="0.3">
      <c r="A13" s="49" t="s">
        <v>73</v>
      </c>
      <c r="B13" s="31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50"/>
      <c r="X13" s="50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>
        <f>SUMPRODUCT(B4:AI4,B13:AI13)</f>
        <v>0</v>
      </c>
    </row>
    <row r="14" spans="1:36" x14ac:dyDescent="0.3">
      <c r="A14" s="49" t="s">
        <v>74</v>
      </c>
      <c r="B14" s="31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50"/>
      <c r="X14" s="50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>
        <f>SUMPRODUCT(B4:AI4,B14:AI14)</f>
        <v>0</v>
      </c>
    </row>
    <row r="15" spans="1:36" x14ac:dyDescent="0.3">
      <c r="A15" s="49" t="s">
        <v>75</v>
      </c>
      <c r="B15" s="31"/>
      <c r="C15" s="31"/>
      <c r="D15" s="31"/>
      <c r="E15" s="31"/>
      <c r="F15" s="31"/>
      <c r="G15" s="31"/>
      <c r="H15" s="31"/>
      <c r="I15" s="5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50"/>
      <c r="X15" s="50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>
        <f>SUMPRODUCT(B4:AI4,B15:AI15)</f>
        <v>0</v>
      </c>
    </row>
    <row r="16" spans="1:36" x14ac:dyDescent="0.3">
      <c r="A16" s="49" t="s">
        <v>76</v>
      </c>
      <c r="B16" s="31"/>
      <c r="C16" s="31"/>
      <c r="D16" s="31"/>
      <c r="E16" s="31"/>
      <c r="F16" s="31"/>
      <c r="G16" s="31"/>
      <c r="H16" s="31"/>
      <c r="I16" s="5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50"/>
      <c r="X16" s="50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>
        <f>SUMPRODUCT(B4:AI4,B16:AI16)</f>
        <v>0</v>
      </c>
    </row>
    <row r="17" spans="1:36" x14ac:dyDescent="0.3">
      <c r="A17" s="49" t="s">
        <v>77</v>
      </c>
      <c r="B17" s="31"/>
      <c r="C17" s="31"/>
      <c r="D17" s="31"/>
      <c r="E17" s="31"/>
      <c r="F17" s="31"/>
      <c r="G17" s="31"/>
      <c r="H17" s="31"/>
      <c r="I17" s="5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50"/>
      <c r="X17" s="50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>
        <f>SUMPRODUCT(B4:AI4,B17:AI17)</f>
        <v>0</v>
      </c>
    </row>
    <row r="18" spans="1:36" x14ac:dyDescent="0.3">
      <c r="A18" s="51" t="s">
        <v>78</v>
      </c>
      <c r="B18" s="31"/>
      <c r="C18" s="31"/>
      <c r="D18" s="31"/>
      <c r="E18" s="31"/>
      <c r="F18" s="31"/>
      <c r="G18" s="31"/>
      <c r="H18" s="31"/>
      <c r="I18" s="5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50"/>
      <c r="X18" s="50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>
        <f>SUMPRODUCT(B4:AI4,B18:AI18)</f>
        <v>0</v>
      </c>
    </row>
    <row r="19" spans="1:36" x14ac:dyDescent="0.3">
      <c r="A19" s="51" t="s">
        <v>79</v>
      </c>
      <c r="B19" s="31"/>
      <c r="C19" s="31"/>
      <c r="D19" s="31"/>
      <c r="E19" s="31"/>
      <c r="F19" s="31"/>
      <c r="G19" s="31"/>
      <c r="H19" s="31"/>
      <c r="I19" s="5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50"/>
      <c r="X19" s="50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>
        <f>SUMPRODUCT(B4:AI4,B19:AI19)</f>
        <v>0</v>
      </c>
    </row>
    <row r="20" spans="1:36" x14ac:dyDescent="0.3">
      <c r="A20" s="51"/>
      <c r="B20" s="31"/>
      <c r="C20" s="31"/>
      <c r="D20" s="31"/>
      <c r="E20" s="31"/>
      <c r="F20" s="31"/>
      <c r="G20" s="31"/>
      <c r="H20" s="31"/>
      <c r="I20" s="5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52"/>
      <c r="X20" s="50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>
        <f>SUMPRODUCT(B4:AI4,B20:AI20)</f>
        <v>0</v>
      </c>
    </row>
    <row r="21" spans="1:36" x14ac:dyDescent="0.3">
      <c r="A21" s="49"/>
      <c r="B21" s="31"/>
      <c r="C21" s="31"/>
      <c r="D21" s="31"/>
      <c r="E21" s="31"/>
      <c r="F21" s="31"/>
      <c r="G21" s="31"/>
      <c r="H21" s="31"/>
      <c r="I21" s="5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50"/>
      <c r="X21" s="50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>
        <f>SUMPRODUCT(B4:AI4,B21:AI21)</f>
        <v>0</v>
      </c>
    </row>
    <row r="22" spans="1:36" x14ac:dyDescent="0.3">
      <c r="A22" s="49"/>
      <c r="B22" s="31"/>
      <c r="C22" s="31"/>
      <c r="D22" s="31"/>
      <c r="E22" s="31"/>
      <c r="F22" s="31"/>
      <c r="G22" s="31"/>
      <c r="H22" s="31"/>
      <c r="I22" s="53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50"/>
      <c r="X22" s="50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>
        <f>SUMPRODUCT(B4:AI4,B22:AI22)</f>
        <v>0</v>
      </c>
    </row>
    <row r="23" spans="1:36" x14ac:dyDescent="0.3">
      <c r="A23" s="54"/>
      <c r="B23" s="31"/>
      <c r="C23" s="31"/>
      <c r="D23" s="31"/>
      <c r="E23" s="31"/>
      <c r="F23" s="31"/>
      <c r="G23" s="31"/>
      <c r="H23" s="50"/>
      <c r="I23" s="55"/>
      <c r="J23" s="56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50"/>
      <c r="X23" s="50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>
        <f>SUMPRODUCT(B4:AI4,B23:AI23)</f>
        <v>0</v>
      </c>
    </row>
    <row r="24" spans="1:36" x14ac:dyDescent="0.3">
      <c r="A24" s="155" t="s">
        <v>3</v>
      </c>
      <c r="B24" s="55">
        <f t="shared" ref="B24:AJ24" si="0">SUM(B5:B23)</f>
        <v>0</v>
      </c>
      <c r="C24" s="55">
        <f t="shared" si="0"/>
        <v>0</v>
      </c>
      <c r="D24" s="55">
        <f t="shared" si="0"/>
        <v>0</v>
      </c>
      <c r="E24" s="55">
        <f t="shared" si="0"/>
        <v>0</v>
      </c>
      <c r="F24" s="55">
        <f t="shared" si="0"/>
        <v>0</v>
      </c>
      <c r="G24" s="55">
        <f t="shared" si="0"/>
        <v>0</v>
      </c>
      <c r="H24" s="55">
        <f t="shared" si="0"/>
        <v>0</v>
      </c>
      <c r="I24" s="147">
        <f t="shared" si="0"/>
        <v>0</v>
      </c>
      <c r="J24" s="147">
        <f t="shared" si="0"/>
        <v>0</v>
      </c>
      <c r="K24" s="147">
        <f t="shared" si="0"/>
        <v>0</v>
      </c>
      <c r="L24" s="147">
        <f t="shared" si="0"/>
        <v>0</v>
      </c>
      <c r="M24" s="147">
        <f t="shared" si="0"/>
        <v>0</v>
      </c>
      <c r="N24" s="147">
        <f t="shared" si="0"/>
        <v>0</v>
      </c>
      <c r="O24" s="147">
        <f t="shared" si="0"/>
        <v>0</v>
      </c>
      <c r="P24" s="147">
        <f t="shared" si="0"/>
        <v>0</v>
      </c>
      <c r="Q24" s="147">
        <f t="shared" si="0"/>
        <v>0</v>
      </c>
      <c r="R24" s="147">
        <f t="shared" si="0"/>
        <v>0</v>
      </c>
      <c r="S24" s="147">
        <f t="shared" si="0"/>
        <v>0</v>
      </c>
      <c r="T24" s="147">
        <f t="shared" si="0"/>
        <v>0</v>
      </c>
      <c r="U24" s="147">
        <f t="shared" si="0"/>
        <v>0</v>
      </c>
      <c r="V24" s="147">
        <f t="shared" si="0"/>
        <v>0</v>
      </c>
      <c r="W24" s="147">
        <f t="shared" si="0"/>
        <v>0</v>
      </c>
      <c r="X24" s="147">
        <f t="shared" si="0"/>
        <v>0</v>
      </c>
      <c r="Y24" s="55">
        <f t="shared" si="0"/>
        <v>0</v>
      </c>
      <c r="Z24" s="55">
        <f t="shared" si="0"/>
        <v>0</v>
      </c>
      <c r="AA24" s="55">
        <f t="shared" si="0"/>
        <v>0</v>
      </c>
      <c r="AB24" s="55">
        <f t="shared" si="0"/>
        <v>0</v>
      </c>
      <c r="AC24" s="55">
        <f t="shared" si="0"/>
        <v>0</v>
      </c>
      <c r="AD24" s="55">
        <f t="shared" si="0"/>
        <v>0</v>
      </c>
      <c r="AE24" s="55">
        <f t="shared" si="0"/>
        <v>0</v>
      </c>
      <c r="AF24" s="55">
        <f t="shared" si="0"/>
        <v>0</v>
      </c>
      <c r="AG24" s="55">
        <f t="shared" si="0"/>
        <v>0</v>
      </c>
      <c r="AH24" s="55">
        <f t="shared" si="0"/>
        <v>0</v>
      </c>
      <c r="AI24" s="55">
        <f t="shared" si="0"/>
        <v>0</v>
      </c>
      <c r="AJ24" s="55">
        <f t="shared" si="0"/>
        <v>0</v>
      </c>
    </row>
    <row r="25" spans="1:36" x14ac:dyDescent="0.3">
      <c r="A25" s="154" t="s">
        <v>80</v>
      </c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31"/>
    </row>
    <row r="26" spans="1:36" ht="24.6" customHeight="1" x14ac:dyDescent="0.35">
      <c r="A26" s="153" t="s">
        <v>162</v>
      </c>
      <c r="B26" s="32"/>
      <c r="C26" s="162" t="str">
        <f>INT((C24+C25)/14)&amp; "/14 + " &amp; (C24+C25)-INT((C24+C25)/14)*14</f>
        <v>0/14 + 0</v>
      </c>
      <c r="D26" s="162" t="str">
        <f>INT((D24+D25)/14)&amp; "/14 + " &amp; (D24+D25)-INT((D24+D25)/14)*14</f>
        <v>0/14 + 0</v>
      </c>
      <c r="E26" s="32"/>
      <c r="F26" s="32"/>
      <c r="G26" s="32"/>
      <c r="H26" s="32"/>
      <c r="I26" s="32"/>
      <c r="J26" s="32"/>
      <c r="K26" s="32"/>
      <c r="L26" s="32"/>
      <c r="M26" s="32"/>
      <c r="N26" s="162" t="str">
        <f>INT((N24+N25)/14)&amp; "/14 + " &amp; (N24+N25)-INT((N24+N25)/14)*14</f>
        <v>0/14 + 0</v>
      </c>
      <c r="O26" s="162" t="str">
        <f>INT((O24+O25)/14)&amp; "/14 + " &amp; (O24+O25)-INT((O24+O25)/14)*14</f>
        <v>0/14 + 0</v>
      </c>
      <c r="P26" s="162" t="str">
        <f>INT((P24+P25)/14)&amp; "/14 + " &amp; (P24+P25)-INT((P24+P25)/14)*14</f>
        <v>0/14 + 0</v>
      </c>
      <c r="Q26" s="32"/>
      <c r="R26" s="32"/>
      <c r="S26" s="32"/>
      <c r="T26" s="32"/>
      <c r="U26" s="32"/>
      <c r="V26" s="32"/>
      <c r="W26" s="32"/>
      <c r="X26" s="32"/>
      <c r="Y26" s="59"/>
      <c r="Z26" s="59"/>
      <c r="AA26" s="59"/>
      <c r="AB26" s="59"/>
      <c r="AC26" s="59"/>
      <c r="AD26" s="59"/>
      <c r="AE26" s="31"/>
      <c r="AF26" s="31"/>
      <c r="AG26" s="31"/>
      <c r="AH26" s="31"/>
      <c r="AI26" s="31"/>
      <c r="AJ26" s="31"/>
    </row>
    <row r="27" spans="1:36" x14ac:dyDescent="0.3">
      <c r="B27" s="217"/>
      <c r="C27" s="217"/>
      <c r="G27" s="217"/>
      <c r="H27" s="217"/>
    </row>
  </sheetData>
  <mergeCells count="4">
    <mergeCell ref="A1:A2"/>
    <mergeCell ref="B27:C27"/>
    <mergeCell ref="G27:H27"/>
    <mergeCell ref="B1:AJ2"/>
  </mergeCells>
  <pageMargins left="0" right="0" top="0" bottom="0" header="0" footer="0"/>
  <pageSetup paperSize="9" scale="9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AN32"/>
  <sheetViews>
    <sheetView zoomScale="130" zoomScaleNormal="13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0.6640625" style="60" customWidth="1"/>
    <col min="2" max="37" width="3.6640625" style="30" customWidth="1"/>
    <col min="38" max="38" width="9" style="30" customWidth="1"/>
    <col min="39" max="44" width="9.109375" style="30" customWidth="1"/>
    <col min="45" max="16384" width="8.88671875" style="30"/>
  </cols>
  <sheetData>
    <row r="1" spans="1:38" ht="15" thickBot="1" x14ac:dyDescent="0.35">
      <c r="A1" s="221" t="s">
        <v>100</v>
      </c>
      <c r="B1" s="222" t="s">
        <v>101</v>
      </c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</row>
    <row r="2" spans="1:38" ht="12" hidden="1" customHeight="1" thickBot="1" x14ac:dyDescent="0.35">
      <c r="A2" s="221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</row>
    <row r="3" spans="1:38" ht="141.75" customHeight="1" thickBot="1" x14ac:dyDescent="0.35">
      <c r="A3" s="96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43"/>
      <c r="AK3" s="43"/>
      <c r="AL3" s="43" t="s">
        <v>59</v>
      </c>
    </row>
    <row r="4" spans="1:38" ht="15" thickBot="1" x14ac:dyDescent="0.35">
      <c r="A4" s="97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31"/>
      <c r="AK4" s="31"/>
      <c r="AL4" s="31"/>
    </row>
    <row r="5" spans="1:38" x14ac:dyDescent="0.3">
      <c r="A5" s="70" t="s">
        <v>102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63"/>
      <c r="Z5" s="40"/>
      <c r="AA5" s="40"/>
      <c r="AB5" s="40"/>
      <c r="AC5" s="31"/>
      <c r="AD5" s="31"/>
      <c r="AE5" s="31"/>
      <c r="AF5" s="31"/>
      <c r="AG5" s="31"/>
      <c r="AH5" s="31"/>
      <c r="AI5" s="31"/>
      <c r="AJ5" s="31"/>
      <c r="AK5" s="31"/>
      <c r="AL5" s="31">
        <f>SUMPRODUCT(B4:AK4,B5:AK5)</f>
        <v>0</v>
      </c>
    </row>
    <row r="6" spans="1:38" ht="29.25" customHeight="1" x14ac:dyDescent="0.3">
      <c r="A6" s="98" t="s">
        <v>103</v>
      </c>
      <c r="B6" s="40"/>
      <c r="C6" s="31"/>
      <c r="D6" s="31"/>
      <c r="E6" s="31"/>
      <c r="F6" s="31"/>
      <c r="G6" s="31"/>
      <c r="H6" s="31"/>
      <c r="I6" s="5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50"/>
      <c r="AA6" s="40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>
        <f>SUMPRODUCT(B4:AK4,B6:AK6)</f>
        <v>0</v>
      </c>
    </row>
    <row r="7" spans="1:38" x14ac:dyDescent="0.3">
      <c r="A7" s="51" t="s">
        <v>104</v>
      </c>
      <c r="B7" s="40"/>
      <c r="C7" s="31"/>
      <c r="D7" s="31"/>
      <c r="E7" s="31"/>
      <c r="F7" s="31"/>
      <c r="G7" s="31"/>
      <c r="H7" s="31"/>
      <c r="I7" s="5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50"/>
      <c r="AA7" s="40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>
        <f>SUMPRODUCT(B4:AK4,B7:AK7)</f>
        <v>0</v>
      </c>
    </row>
    <row r="8" spans="1:38" x14ac:dyDescent="0.3">
      <c r="A8" s="51" t="s">
        <v>105</v>
      </c>
      <c r="B8" s="40"/>
      <c r="C8" s="31"/>
      <c r="D8" s="31"/>
      <c r="E8" s="31"/>
      <c r="F8" s="31"/>
      <c r="G8" s="31"/>
      <c r="H8" s="31"/>
      <c r="I8" s="5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50"/>
      <c r="AA8" s="40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>
        <f>SUMPRODUCT(B4:AK4,B8:AK8)</f>
        <v>0</v>
      </c>
    </row>
    <row r="9" spans="1:38" x14ac:dyDescent="0.3">
      <c r="A9" s="51" t="s">
        <v>106</v>
      </c>
      <c r="B9" s="40"/>
      <c r="C9" s="31"/>
      <c r="D9" s="31"/>
      <c r="E9" s="31"/>
      <c r="F9" s="31"/>
      <c r="G9" s="31"/>
      <c r="H9" s="31"/>
      <c r="I9" s="5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50"/>
      <c r="AA9" s="40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>
        <f>SUMPRODUCT(B4:AK4,B9:AK9)</f>
        <v>0</v>
      </c>
    </row>
    <row r="10" spans="1:38" x14ac:dyDescent="0.3">
      <c r="A10" s="51" t="s">
        <v>107</v>
      </c>
      <c r="B10" s="40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0"/>
      <c r="AA10" s="40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>
        <f>SUMPRODUCT(B4:AK4,B10:AK10)</f>
        <v>0</v>
      </c>
    </row>
    <row r="11" spans="1:38" x14ac:dyDescent="0.3">
      <c r="A11" s="51" t="s">
        <v>108</v>
      </c>
      <c r="B11" s="40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0"/>
      <c r="AA11" s="40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>
        <f>SUMPRODUCT(B4:AK4,B11:AK11)</f>
        <v>0</v>
      </c>
    </row>
    <row r="12" spans="1:38" x14ac:dyDescent="0.3">
      <c r="A12" s="51" t="s">
        <v>109</v>
      </c>
      <c r="B12" s="40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0"/>
      <c r="AA12" s="40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>
        <f>SUMPRODUCT(B4:AK4,B12:AK12)</f>
        <v>0</v>
      </c>
    </row>
    <row r="13" spans="1:38" x14ac:dyDescent="0.3">
      <c r="A13" s="51" t="s">
        <v>110</v>
      </c>
      <c r="B13" s="40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0"/>
      <c r="AA13" s="40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>
        <f>SUMPRODUCT(B4:AK4,B13:AK13)</f>
        <v>0</v>
      </c>
    </row>
    <row r="14" spans="1:38" x14ac:dyDescent="0.3">
      <c r="A14" s="51" t="s">
        <v>111</v>
      </c>
      <c r="B14" s="40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0"/>
      <c r="AA14" s="40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>
        <f>SUMPRODUCT(B4:AK4,B14:AK14)</f>
        <v>0</v>
      </c>
    </row>
    <row r="15" spans="1:38" ht="15" customHeight="1" x14ac:dyDescent="0.3">
      <c r="A15" s="99" t="s">
        <v>112</v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>
        <f>SUMPRODUCT(B4:AK4,B15:AK15)</f>
        <v>0</v>
      </c>
    </row>
    <row r="16" spans="1:38" x14ac:dyDescent="0.3">
      <c r="A16" s="51" t="s">
        <v>113</v>
      </c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>
        <f>SUMPRODUCT(B4:AK4,B16:AK16)</f>
        <v>0</v>
      </c>
    </row>
    <row r="17" spans="1:40" x14ac:dyDescent="0.3">
      <c r="A17" s="51" t="s">
        <v>114</v>
      </c>
      <c r="B17" s="31"/>
      <c r="C17" s="31"/>
      <c r="D17" s="31"/>
      <c r="E17" s="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>
        <f>SUMPRODUCT(B4:AK4,B17:AK17)</f>
        <v>0</v>
      </c>
    </row>
    <row r="18" spans="1:40" x14ac:dyDescent="0.3">
      <c r="A18" s="51" t="s">
        <v>115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>
        <f>SUMPRODUCT(B4:AK4,B18:AK18)</f>
        <v>0</v>
      </c>
    </row>
    <row r="19" spans="1:40" x14ac:dyDescent="0.3">
      <c r="A19" s="51" t="s">
        <v>116</v>
      </c>
      <c r="B19" s="40"/>
      <c r="C19" s="31"/>
      <c r="D19" s="31"/>
      <c r="E19" s="31"/>
      <c r="F19" s="31"/>
      <c r="G19" s="31"/>
      <c r="H19" s="31"/>
      <c r="I19" s="5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50"/>
      <c r="AA19" s="40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>
        <f>SUMPRODUCT(B19:AH19,B4:AH4)</f>
        <v>0</v>
      </c>
    </row>
    <row r="20" spans="1:40" x14ac:dyDescent="0.3">
      <c r="A20" s="49" t="s">
        <v>117</v>
      </c>
      <c r="B20" s="40"/>
      <c r="C20" s="31"/>
      <c r="D20" s="31"/>
      <c r="E20" s="31"/>
      <c r="F20" s="31"/>
      <c r="G20" s="31"/>
      <c r="H20" s="31"/>
      <c r="I20" s="5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50"/>
      <c r="AA20" s="40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>
        <f>SUMPRODUCT(B4:AK4,B20:AK20)</f>
        <v>0</v>
      </c>
    </row>
    <row r="21" spans="1:40" x14ac:dyDescent="0.3">
      <c r="A21" s="51" t="s">
        <v>118</v>
      </c>
      <c r="B21" s="40"/>
      <c r="C21" s="31"/>
      <c r="D21" s="31"/>
      <c r="E21" s="31"/>
      <c r="F21" s="31"/>
      <c r="G21" s="31"/>
      <c r="H21" s="31"/>
      <c r="I21" s="5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50"/>
      <c r="AA21" s="40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>
        <f>SUMPRODUCT(B4:AK4,B21:AK21)</f>
        <v>0</v>
      </c>
    </row>
    <row r="22" spans="1:40" x14ac:dyDescent="0.3">
      <c r="A22" s="51" t="s">
        <v>119</v>
      </c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63"/>
      <c r="AA22" s="40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>
        <f>SUMPRODUCT(B4:AK4,B22:AK22)</f>
        <v>0</v>
      </c>
    </row>
    <row r="23" spans="1:40" x14ac:dyDescent="0.3">
      <c r="A23" s="51" t="s">
        <v>120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63"/>
      <c r="AA23" s="40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>
        <f>SUMPRODUCT(B4:AK4,B23:AK23)</f>
        <v>0</v>
      </c>
    </row>
    <row r="24" spans="1:40" x14ac:dyDescent="0.3">
      <c r="A24" s="51" t="s">
        <v>121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63"/>
      <c r="AA24" s="40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>
        <f>SUMPRODUCT(B4:AK4,B24:AK24)</f>
        <v>0</v>
      </c>
    </row>
    <row r="25" spans="1:40" x14ac:dyDescent="0.3">
      <c r="A25" s="51" t="s">
        <v>122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63"/>
      <c r="AA25" s="40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>
        <f>SUMPRODUCT(B4:AK4,B25:AK25)</f>
        <v>0</v>
      </c>
    </row>
    <row r="26" spans="1:40" ht="15.75" customHeight="1" x14ac:dyDescent="0.3">
      <c r="A26" s="51" t="s">
        <v>123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63"/>
      <c r="AA26" s="40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>
        <f>SUMPRODUCT(B4:AK4,B26:AK26)</f>
        <v>0</v>
      </c>
      <c r="AN26" s="30" t="s">
        <v>124</v>
      </c>
    </row>
    <row r="27" spans="1:40" ht="15.75" customHeight="1" x14ac:dyDescent="0.3">
      <c r="A27" s="51" t="s">
        <v>125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63"/>
      <c r="AA27" s="63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>
        <f>SUMPRODUCT(B4:AK4,B27:AK27)</f>
        <v>0</v>
      </c>
    </row>
    <row r="28" spans="1:40" ht="15.75" customHeight="1" x14ac:dyDescent="0.3">
      <c r="A28" s="51" t="s">
        <v>126</v>
      </c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63"/>
      <c r="AA28" s="63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>
        <f>SUMPRODUCT(B4:AK4,B28:AK28)</f>
        <v>0</v>
      </c>
    </row>
    <row r="29" spans="1:40" ht="15.75" customHeight="1" x14ac:dyDescent="0.3">
      <c r="A29" s="51" t="s">
        <v>127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63"/>
      <c r="AA29" s="63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>
        <f>SUMPRODUCT(B4:AK4,B29:AK29)</f>
        <v>0</v>
      </c>
    </row>
    <row r="30" spans="1:40" x14ac:dyDescent="0.3">
      <c r="A30" s="49" t="s">
        <v>3</v>
      </c>
      <c r="B30" s="55">
        <f t="shared" ref="B30:L30" si="0">SUM(B5:B29)</f>
        <v>0</v>
      </c>
      <c r="C30" s="55">
        <f t="shared" si="0"/>
        <v>0</v>
      </c>
      <c r="D30" s="55">
        <f t="shared" si="0"/>
        <v>0</v>
      </c>
      <c r="E30" s="55">
        <f t="shared" si="0"/>
        <v>0</v>
      </c>
      <c r="F30" s="55">
        <f t="shared" si="0"/>
        <v>0</v>
      </c>
      <c r="G30" s="55">
        <f t="shared" si="0"/>
        <v>0</v>
      </c>
      <c r="H30" s="55">
        <f t="shared" si="0"/>
        <v>0</v>
      </c>
      <c r="I30" s="55">
        <f t="shared" si="0"/>
        <v>0</v>
      </c>
      <c r="J30" s="55">
        <f t="shared" si="0"/>
        <v>0</v>
      </c>
      <c r="K30" s="55">
        <f t="shared" si="0"/>
        <v>0</v>
      </c>
      <c r="L30" s="55">
        <f t="shared" si="0"/>
        <v>0</v>
      </c>
      <c r="M30" s="55">
        <f t="shared" ref="M30:T30" si="1">SUM(M5:M29)</f>
        <v>0</v>
      </c>
      <c r="N30" s="55">
        <f t="shared" si="1"/>
        <v>0</v>
      </c>
      <c r="O30" s="55">
        <f t="shared" si="1"/>
        <v>0</v>
      </c>
      <c r="P30" s="55">
        <f t="shared" si="1"/>
        <v>0</v>
      </c>
      <c r="Q30" s="55">
        <f t="shared" si="1"/>
        <v>0</v>
      </c>
      <c r="R30" s="55">
        <f t="shared" si="1"/>
        <v>0</v>
      </c>
      <c r="S30" s="55">
        <f t="shared" si="1"/>
        <v>0</v>
      </c>
      <c r="T30" s="55">
        <f t="shared" si="1"/>
        <v>0</v>
      </c>
      <c r="U30" s="55">
        <f t="shared" ref="U30:AB30" si="2">SUM(U5:U29)</f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150">
        <f t="shared" si="2"/>
        <v>0</v>
      </c>
      <c r="AA30" s="150">
        <f t="shared" si="2"/>
        <v>0</v>
      </c>
      <c r="AB30" s="150">
        <f t="shared" si="2"/>
        <v>0</v>
      </c>
      <c r="AC30" s="55">
        <f t="shared" ref="AC30:AH30" si="3">SUM(AC5:AC29)</f>
        <v>0</v>
      </c>
      <c r="AD30" s="55">
        <f t="shared" si="3"/>
        <v>0</v>
      </c>
      <c r="AE30" s="55">
        <f t="shared" si="3"/>
        <v>0</v>
      </c>
      <c r="AF30" s="55">
        <f t="shared" si="3"/>
        <v>0</v>
      </c>
      <c r="AG30" s="55">
        <f t="shared" si="3"/>
        <v>0</v>
      </c>
      <c r="AH30" s="55">
        <f t="shared" si="3"/>
        <v>0</v>
      </c>
      <c r="AI30" s="55">
        <f t="shared" ref="AI30:AK30" si="4">SUM(AI5:AI26)</f>
        <v>0</v>
      </c>
      <c r="AJ30" s="55">
        <f t="shared" si="4"/>
        <v>0</v>
      </c>
      <c r="AK30" s="55">
        <f t="shared" si="4"/>
        <v>0</v>
      </c>
      <c r="AL30" s="55">
        <f>SUM(AL5:AL29)</f>
        <v>0</v>
      </c>
    </row>
    <row r="31" spans="1:40" x14ac:dyDescent="0.3">
      <c r="A31" s="57" t="s">
        <v>128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95"/>
      <c r="AK31" s="95"/>
      <c r="AL31" s="31"/>
    </row>
    <row r="32" spans="1:40" ht="21.6" customHeight="1" x14ac:dyDescent="0.3">
      <c r="A32" s="33" t="s">
        <v>162</v>
      </c>
      <c r="B32" s="163"/>
      <c r="C32" s="162" t="str">
        <f>INT((C30+C31)/14)&amp; "/14 + " &amp; (C30+C31)-INT((C30+C31)/14)*14</f>
        <v>0/14 + 0</v>
      </c>
      <c r="D32" s="162" t="str">
        <f>INT((D30+D31)/14)&amp; "/14 + " &amp; (D30+D31)-INT((D30+D31)/14)*14</f>
        <v>0/14 + 0</v>
      </c>
      <c r="E32" s="31"/>
      <c r="F32" s="31"/>
      <c r="G32" s="163"/>
      <c r="H32" s="163"/>
      <c r="I32" s="31"/>
      <c r="J32" s="31"/>
      <c r="K32" s="31"/>
      <c r="L32" s="31"/>
      <c r="M32" s="31"/>
      <c r="N32" s="162" t="str">
        <f>INT((N30+N31)/14)&amp; "/14 + " &amp; (N30+N31)-INT((N30+N31)/14)*14</f>
        <v>0/14 + 0</v>
      </c>
      <c r="O32" s="162" t="str">
        <f>INT((O30+O31)/14)&amp; "/14 + " &amp; (O30+O31)-INT((O30+O31)/14)*14</f>
        <v>0/14 + 0</v>
      </c>
      <c r="P32" s="162" t="str">
        <f>INT((P30+P31)/14)&amp; "/14 + " &amp; (P30+P31)-INT((P30+P31)/14)*14</f>
        <v>0/14 + 0</v>
      </c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</sheetData>
  <mergeCells count="2">
    <mergeCell ref="A1:A2"/>
    <mergeCell ref="B1:AB2"/>
  </mergeCells>
  <pageMargins left="0" right="0" top="0" bottom="0" header="0" footer="0"/>
  <pageSetup paperSize="9" scale="82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K20"/>
  <sheetViews>
    <sheetView zoomScale="115" zoomScaleNormal="115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9.33203125" style="60" customWidth="1"/>
    <col min="2" max="36" width="3.6640625" style="30" customWidth="1"/>
    <col min="37" max="37" width="6.88671875" style="30" customWidth="1"/>
    <col min="38" max="16384" width="8.88671875" style="30"/>
  </cols>
  <sheetData>
    <row r="1" spans="1:37" ht="15" thickBot="1" x14ac:dyDescent="0.35">
      <c r="A1" s="220" t="s">
        <v>63</v>
      </c>
      <c r="B1" s="223" t="s">
        <v>81</v>
      </c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</row>
    <row r="2" spans="1:37" ht="15" thickBot="1" x14ac:dyDescent="0.35">
      <c r="A2" s="220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</row>
    <row r="3" spans="1:37" ht="162" customHeight="1" thickBot="1" x14ac:dyDescent="0.35">
      <c r="A3" s="82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65"/>
      <c r="AK3" s="65" t="s">
        <v>59</v>
      </c>
    </row>
    <row r="4" spans="1:37" ht="15" thickBot="1" x14ac:dyDescent="0.35">
      <c r="A4" s="83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42"/>
      <c r="AK4" s="42"/>
    </row>
    <row r="5" spans="1:37" x14ac:dyDescent="0.3">
      <c r="A5" s="70" t="s">
        <v>82</v>
      </c>
      <c r="B5" s="40"/>
      <c r="C5" s="40"/>
      <c r="D5" s="40"/>
      <c r="F5" s="40"/>
      <c r="G5" s="40"/>
      <c r="H5" s="40"/>
      <c r="I5" s="63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63"/>
      <c r="AC5" s="40"/>
      <c r="AD5" s="40"/>
      <c r="AE5" s="40"/>
      <c r="AF5" s="40"/>
      <c r="AG5" s="40"/>
      <c r="AH5" s="40"/>
      <c r="AI5" s="40"/>
      <c r="AJ5" s="40"/>
      <c r="AK5" s="40">
        <f>SUMPRODUCT(B4:AJ4,B5:AJ5)</f>
        <v>0</v>
      </c>
    </row>
    <row r="6" spans="1:37" x14ac:dyDescent="0.3">
      <c r="A6" s="51" t="s">
        <v>83</v>
      </c>
      <c r="B6" s="31"/>
      <c r="C6" s="31"/>
      <c r="D6" s="31"/>
      <c r="E6" s="31"/>
      <c r="F6" s="31"/>
      <c r="G6" s="31"/>
      <c r="H6" s="31"/>
      <c r="I6" s="5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63"/>
      <c r="Z6" s="50"/>
      <c r="AA6" s="40"/>
      <c r="AB6" s="50"/>
      <c r="AC6" s="31"/>
      <c r="AD6" s="31"/>
      <c r="AE6" s="31"/>
      <c r="AF6" s="31"/>
      <c r="AG6" s="31"/>
      <c r="AH6" s="31"/>
      <c r="AI6" s="31"/>
      <c r="AJ6" s="31"/>
      <c r="AK6" s="31">
        <f>SUMPRODUCT(B4:AJ4,B6:AJ6)</f>
        <v>0</v>
      </c>
    </row>
    <row r="7" spans="1:37" x14ac:dyDescent="0.3">
      <c r="A7" s="51" t="s">
        <v>84</v>
      </c>
      <c r="B7" s="31"/>
      <c r="C7" s="31"/>
      <c r="D7" s="31"/>
      <c r="E7" s="31"/>
      <c r="F7" s="31"/>
      <c r="G7" s="31"/>
      <c r="H7" s="31"/>
      <c r="I7" s="5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50"/>
      <c r="AA7" s="40"/>
      <c r="AB7" s="50"/>
      <c r="AC7" s="31"/>
      <c r="AD7" s="31"/>
      <c r="AE7" s="31"/>
      <c r="AF7" s="31"/>
      <c r="AG7" s="31"/>
      <c r="AH7" s="31"/>
      <c r="AI7" s="31"/>
      <c r="AJ7" s="31"/>
      <c r="AK7" s="31">
        <f>SUMPRODUCT(B4:AJ4,B7:AJ7)</f>
        <v>0</v>
      </c>
    </row>
    <row r="8" spans="1:37" x14ac:dyDescent="0.3">
      <c r="A8" s="51" t="s">
        <v>85</v>
      </c>
      <c r="B8" s="31"/>
      <c r="C8" s="40"/>
      <c r="D8" s="40"/>
      <c r="F8" s="40"/>
      <c r="G8" s="40"/>
      <c r="H8" s="40"/>
      <c r="I8" s="63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50"/>
      <c r="AC8" s="31"/>
      <c r="AD8" s="31"/>
      <c r="AE8" s="31"/>
      <c r="AF8" s="31"/>
      <c r="AG8" s="31"/>
      <c r="AH8" s="31"/>
      <c r="AI8" s="31"/>
      <c r="AJ8" s="31"/>
      <c r="AK8" s="31">
        <f>SUMPRODUCT(B4:AJ4,B8:AJ8)</f>
        <v>0</v>
      </c>
    </row>
    <row r="9" spans="1:37" x14ac:dyDescent="0.3">
      <c r="A9" s="51"/>
      <c r="B9" s="31"/>
      <c r="C9" s="31"/>
      <c r="D9" s="31"/>
      <c r="E9" s="31"/>
      <c r="F9" s="31"/>
      <c r="G9" s="31"/>
      <c r="H9" s="31"/>
      <c r="I9" s="5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50"/>
      <c r="AA9" s="40"/>
      <c r="AB9" s="50"/>
      <c r="AC9" s="31"/>
      <c r="AD9" s="31"/>
      <c r="AE9" s="31"/>
      <c r="AF9" s="31"/>
      <c r="AG9" s="31"/>
      <c r="AH9" s="31"/>
      <c r="AI9" s="31"/>
      <c r="AJ9" s="31"/>
      <c r="AK9" s="31">
        <f>SUMPRODUCT(B4:AJ4,B9:AJ9)</f>
        <v>0</v>
      </c>
    </row>
    <row r="10" spans="1:37" x14ac:dyDescent="0.3">
      <c r="A10" s="51"/>
      <c r="B10" s="31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0"/>
      <c r="AA10" s="40"/>
      <c r="AB10" s="50"/>
      <c r="AC10" s="31"/>
      <c r="AD10" s="31"/>
      <c r="AE10" s="31"/>
      <c r="AF10" s="31"/>
      <c r="AG10" s="31"/>
      <c r="AH10" s="31"/>
      <c r="AI10" s="31"/>
      <c r="AJ10" s="31"/>
      <c r="AK10" s="31">
        <f>SUMPRODUCT(B4:AJ4,B10:AJ10)</f>
        <v>0</v>
      </c>
    </row>
    <row r="11" spans="1:37" x14ac:dyDescent="0.3">
      <c r="A11" s="51"/>
      <c r="B11" s="31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0"/>
      <c r="AA11" s="40"/>
      <c r="AB11" s="50"/>
      <c r="AC11" s="31"/>
      <c r="AD11" s="31"/>
      <c r="AE11" s="31"/>
      <c r="AF11" s="31"/>
      <c r="AG11" s="31"/>
      <c r="AH11" s="31"/>
      <c r="AI11" s="31"/>
      <c r="AJ11" s="31"/>
      <c r="AK11" s="31">
        <f>SUMPRODUCT(B4:AJ4,B11:AJ11)</f>
        <v>0</v>
      </c>
    </row>
    <row r="12" spans="1:37" x14ac:dyDescent="0.3">
      <c r="A12" s="51"/>
      <c r="B12" s="31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0"/>
      <c r="AA12" s="40"/>
      <c r="AB12" s="50"/>
      <c r="AC12" s="31"/>
      <c r="AD12" s="31"/>
      <c r="AE12" s="31"/>
      <c r="AF12" s="31"/>
      <c r="AG12" s="31"/>
      <c r="AH12" s="31"/>
      <c r="AI12" s="31"/>
      <c r="AJ12" s="31"/>
      <c r="AK12" s="31">
        <f>SUMPRODUCT(B4:AJ4,B12:AJ12)</f>
        <v>0</v>
      </c>
    </row>
    <row r="13" spans="1:37" x14ac:dyDescent="0.3">
      <c r="A13" s="51"/>
      <c r="B13" s="31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0"/>
      <c r="AA13" s="40"/>
      <c r="AB13" s="50"/>
      <c r="AC13" s="31"/>
      <c r="AD13" s="31"/>
      <c r="AE13" s="31"/>
      <c r="AF13" s="31"/>
      <c r="AG13" s="31"/>
      <c r="AH13" s="31"/>
      <c r="AI13" s="31"/>
      <c r="AJ13" s="31"/>
      <c r="AK13" s="31">
        <f>SUMPRODUCT(B4:AJ4,B13:AJ13)</f>
        <v>0</v>
      </c>
    </row>
    <row r="14" spans="1:37" x14ac:dyDescent="0.3">
      <c r="A14" s="51"/>
      <c r="B14" s="31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0"/>
      <c r="AA14" s="40"/>
      <c r="AB14" s="50"/>
      <c r="AC14" s="31"/>
      <c r="AD14" s="31"/>
      <c r="AE14" s="31"/>
      <c r="AF14" s="31"/>
      <c r="AG14" s="31"/>
      <c r="AH14" s="31"/>
      <c r="AI14" s="31"/>
      <c r="AJ14" s="31"/>
      <c r="AK14" s="31">
        <f>SUMPRODUCT(B4:AJ4,B14:AJ14)</f>
        <v>0</v>
      </c>
    </row>
    <row r="15" spans="1:37" x14ac:dyDescent="0.3">
      <c r="A15" s="51"/>
      <c r="B15" s="31"/>
      <c r="C15" s="31"/>
      <c r="D15" s="31"/>
      <c r="E15" s="31"/>
      <c r="F15" s="31"/>
      <c r="G15" s="31"/>
      <c r="H15" s="31"/>
      <c r="I15" s="5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50"/>
      <c r="AA15" s="40"/>
      <c r="AB15" s="50"/>
      <c r="AC15" s="31"/>
      <c r="AD15" s="31"/>
      <c r="AE15" s="31"/>
      <c r="AF15" s="31"/>
      <c r="AG15" s="31"/>
      <c r="AH15" s="31"/>
      <c r="AI15" s="31"/>
      <c r="AJ15" s="31"/>
      <c r="AK15" s="31">
        <f>SUMPRODUCT(B4:AJ4,B15:AJ15)</f>
        <v>0</v>
      </c>
    </row>
    <row r="16" spans="1:37" ht="15" thickBot="1" x14ac:dyDescent="0.35">
      <c r="A16" s="51"/>
      <c r="B16" s="31"/>
      <c r="C16" s="31"/>
      <c r="D16" s="31"/>
      <c r="E16" s="31"/>
      <c r="F16" s="31"/>
      <c r="G16" s="31"/>
      <c r="H16" s="31"/>
      <c r="I16" s="5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50"/>
      <c r="AA16" s="40"/>
      <c r="AB16" s="50"/>
      <c r="AC16" s="31"/>
      <c r="AD16" s="31"/>
      <c r="AE16" s="31"/>
      <c r="AF16" s="31"/>
      <c r="AG16" s="31"/>
      <c r="AH16" s="31"/>
      <c r="AI16" s="31"/>
      <c r="AJ16" s="31"/>
      <c r="AK16" s="31">
        <f>SUMPRODUCT(B4:AJ4,B16:AJ16)</f>
        <v>0</v>
      </c>
    </row>
    <row r="17" spans="1:37" ht="18.600000000000001" thickBot="1" x14ac:dyDescent="0.4">
      <c r="A17" s="71" t="s">
        <v>86</v>
      </c>
      <c r="B17" s="144">
        <f t="shared" ref="B17:AB17" si="0">SUM(B5:B16)</f>
        <v>0</v>
      </c>
      <c r="C17" s="144">
        <f t="shared" si="0"/>
        <v>0</v>
      </c>
      <c r="D17" s="144">
        <f t="shared" si="0"/>
        <v>0</v>
      </c>
      <c r="E17" s="144">
        <f t="shared" si="0"/>
        <v>0</v>
      </c>
      <c r="F17" s="144">
        <f t="shared" si="0"/>
        <v>0</v>
      </c>
      <c r="G17" s="144">
        <f t="shared" si="0"/>
        <v>0</v>
      </c>
      <c r="H17" s="144">
        <f t="shared" si="0"/>
        <v>0</v>
      </c>
      <c r="I17" s="145">
        <f t="shared" si="0"/>
        <v>0</v>
      </c>
      <c r="J17" s="145">
        <f t="shared" si="0"/>
        <v>0</v>
      </c>
      <c r="K17" s="145">
        <f t="shared" si="0"/>
        <v>0</v>
      </c>
      <c r="L17" s="145">
        <f t="shared" si="0"/>
        <v>0</v>
      </c>
      <c r="M17" s="145">
        <f t="shared" si="0"/>
        <v>0</v>
      </c>
      <c r="N17" s="145">
        <f t="shared" si="0"/>
        <v>0</v>
      </c>
      <c r="O17" s="145">
        <f t="shared" si="0"/>
        <v>0</v>
      </c>
      <c r="P17" s="145">
        <f t="shared" si="0"/>
        <v>0</v>
      </c>
      <c r="Q17" s="145">
        <f t="shared" si="0"/>
        <v>0</v>
      </c>
      <c r="R17" s="145">
        <f t="shared" si="0"/>
        <v>0</v>
      </c>
      <c r="S17" s="145">
        <f t="shared" si="0"/>
        <v>0</v>
      </c>
      <c r="T17" s="148">
        <f>SUM(T5:T16)</f>
        <v>0</v>
      </c>
      <c r="U17" s="145">
        <f t="shared" si="0"/>
        <v>0</v>
      </c>
      <c r="V17" s="145">
        <f t="shared" si="0"/>
        <v>0</v>
      </c>
      <c r="W17" s="145">
        <f t="shared" si="0"/>
        <v>0</v>
      </c>
      <c r="X17" s="145">
        <f t="shared" si="0"/>
        <v>0</v>
      </c>
      <c r="Y17" s="145">
        <f t="shared" si="0"/>
        <v>0</v>
      </c>
      <c r="Z17" s="145">
        <f t="shared" si="0"/>
        <v>0</v>
      </c>
      <c r="AA17" s="145">
        <f t="shared" si="0"/>
        <v>0</v>
      </c>
      <c r="AB17" s="146">
        <f t="shared" si="0"/>
        <v>0</v>
      </c>
      <c r="AC17" s="5">
        <f>SUM(AC5:AC16)</f>
        <v>0</v>
      </c>
      <c r="AD17" s="5">
        <f t="shared" ref="AD17:AK17" si="1">SUM(AD5:AD16)</f>
        <v>0</v>
      </c>
      <c r="AE17" s="5">
        <f t="shared" si="1"/>
        <v>0</v>
      </c>
      <c r="AF17" s="5">
        <f t="shared" si="1"/>
        <v>0</v>
      </c>
      <c r="AG17" s="5">
        <f t="shared" si="1"/>
        <v>0</v>
      </c>
      <c r="AH17" s="5">
        <f>SUM(AH5:AH16)</f>
        <v>0</v>
      </c>
      <c r="AI17" s="74">
        <f t="shared" si="1"/>
        <v>0</v>
      </c>
      <c r="AJ17" s="74">
        <f t="shared" si="1"/>
        <v>0</v>
      </c>
      <c r="AK17" s="74">
        <f t="shared" si="1"/>
        <v>0</v>
      </c>
    </row>
    <row r="18" spans="1:37" ht="13.95" customHeight="1" x14ac:dyDescent="0.35">
      <c r="A18" s="75" t="s">
        <v>80</v>
      </c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5"/>
      <c r="AC18" s="166"/>
      <c r="AD18" s="166"/>
      <c r="AE18" s="166"/>
      <c r="AF18" s="166"/>
      <c r="AG18" s="167"/>
      <c r="AH18" s="167"/>
      <c r="AI18" s="167"/>
      <c r="AJ18" s="77"/>
      <c r="AK18" s="77"/>
    </row>
    <row r="19" spans="1:37" ht="18" hidden="1" x14ac:dyDescent="0.35">
      <c r="A19" s="78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80"/>
      <c r="AH19" s="80"/>
      <c r="AI19" s="80"/>
      <c r="AJ19" s="80"/>
      <c r="AK19" s="80"/>
    </row>
    <row r="20" spans="1:37" ht="22.95" customHeight="1" x14ac:dyDescent="0.35">
      <c r="A20" s="57" t="s">
        <v>162</v>
      </c>
      <c r="B20" s="32"/>
      <c r="C20" s="162" t="str">
        <f>INT((C17+C18)/14)&amp; "/14 + " &amp; (C17+C18)-INT((C17+C18)/14)*14</f>
        <v>0/14 + 0</v>
      </c>
      <c r="D20" s="162" t="str">
        <f>INT((D17+D18)/14)&amp; "/14 + " &amp; (D17+D18)-INT((D17+D18)/14)*14</f>
        <v>0/14 + 0</v>
      </c>
      <c r="E20" s="32"/>
      <c r="F20" s="32"/>
      <c r="G20" s="32"/>
      <c r="H20" s="32"/>
      <c r="I20" s="32"/>
      <c r="J20" s="32"/>
      <c r="K20" s="32"/>
      <c r="L20" s="32"/>
      <c r="M20" s="32"/>
      <c r="N20" s="162" t="str">
        <f>INT((N17+N18)/14)&amp; "/14 + " &amp; (N17+N18)-INT((N17+N18)/14)*14</f>
        <v>0/14 + 0</v>
      </c>
      <c r="O20" s="162" t="str">
        <f>INT((O17+O18)/14)&amp; "/14 + " &amp; (O17+O18)-INT((O17+O18)/14)*14</f>
        <v>0/14 + 0</v>
      </c>
      <c r="P20" s="162" t="str">
        <f>INT((P17+P18)/14)&amp; "/14 + " &amp; (P17+P18)-INT((P17+P18)/14)*14</f>
        <v>0/14 + 0</v>
      </c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81"/>
      <c r="AC20" s="32"/>
      <c r="AD20" s="32"/>
      <c r="AE20" s="32"/>
      <c r="AF20" s="32"/>
      <c r="AG20" s="32"/>
      <c r="AH20" s="32"/>
      <c r="AI20" s="59"/>
      <c r="AJ20" s="59"/>
      <c r="AK20" s="59"/>
    </row>
  </sheetData>
  <mergeCells count="2">
    <mergeCell ref="A1:A2"/>
    <mergeCell ref="B1:AK2"/>
  </mergeCells>
  <pageMargins left="0" right="0" top="0" bottom="0" header="0" footer="0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J22"/>
  <sheetViews>
    <sheetView zoomScale="115" zoomScaleNormal="115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0" style="60" customWidth="1"/>
    <col min="2" max="35" width="3.6640625" style="30" customWidth="1"/>
    <col min="36" max="36" width="7.6640625" style="30" customWidth="1"/>
    <col min="37" max="16384" width="8.88671875" style="30"/>
  </cols>
  <sheetData>
    <row r="1" spans="1:36" ht="15" thickBot="1" x14ac:dyDescent="0.35">
      <c r="A1" s="220" t="s">
        <v>63</v>
      </c>
      <c r="B1" s="218" t="s">
        <v>88</v>
      </c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9"/>
      <c r="AB1" s="219"/>
      <c r="AC1" s="219"/>
      <c r="AD1" s="219"/>
      <c r="AE1" s="219"/>
      <c r="AF1" s="219"/>
      <c r="AG1" s="219"/>
      <c r="AH1" s="219"/>
      <c r="AI1" s="219"/>
      <c r="AJ1" s="219"/>
    </row>
    <row r="2" spans="1:36" ht="15" thickBot="1" x14ac:dyDescent="0.35">
      <c r="A2" s="220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9"/>
      <c r="AB2" s="219"/>
      <c r="AC2" s="219"/>
      <c r="AD2" s="219"/>
      <c r="AE2" s="219"/>
      <c r="AF2" s="219"/>
      <c r="AG2" s="219"/>
      <c r="AH2" s="219"/>
      <c r="AI2" s="219"/>
      <c r="AJ2" s="219"/>
    </row>
    <row r="3" spans="1:36" ht="162" customHeight="1" thickBot="1" x14ac:dyDescent="0.35">
      <c r="A3" s="64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/>
      <c r="AJ3" s="65" t="s">
        <v>59</v>
      </c>
    </row>
    <row r="4" spans="1:36" ht="15" thickBot="1" x14ac:dyDescent="0.35">
      <c r="A4" s="87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/>
      <c r="AJ4" s="42"/>
    </row>
    <row r="5" spans="1:36" x14ac:dyDescent="0.3">
      <c r="A5" s="7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63"/>
      <c r="AB5" s="40"/>
      <c r="AC5" s="40"/>
      <c r="AD5" s="40"/>
      <c r="AE5" s="40"/>
      <c r="AF5" s="40"/>
      <c r="AG5" s="40"/>
      <c r="AH5" s="40"/>
      <c r="AI5" s="40"/>
      <c r="AJ5" s="40">
        <f>SUMPRODUCT(B4:AI4,B5:AI5)</f>
        <v>0</v>
      </c>
    </row>
    <row r="6" spans="1:36" x14ac:dyDescent="0.3">
      <c r="A6" s="51" t="s">
        <v>89</v>
      </c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50"/>
      <c r="AB6" s="31"/>
      <c r="AC6" s="31"/>
      <c r="AD6" s="31"/>
      <c r="AE6" s="31"/>
      <c r="AF6" s="31"/>
      <c r="AG6" s="31"/>
      <c r="AH6" s="31"/>
      <c r="AI6" s="31"/>
      <c r="AJ6" s="31">
        <f>SUMPRODUCT(B4:AI4,B6:AI6)</f>
        <v>0</v>
      </c>
    </row>
    <row r="7" spans="1:36" x14ac:dyDescent="0.3">
      <c r="A7" s="51" t="s">
        <v>90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50"/>
      <c r="AB7" s="31"/>
      <c r="AC7" s="31"/>
      <c r="AD7" s="31"/>
      <c r="AE7" s="31"/>
      <c r="AF7" s="31"/>
      <c r="AG7" s="31"/>
      <c r="AH7" s="31"/>
      <c r="AI7" s="31"/>
      <c r="AJ7" s="31">
        <f>SUMPRODUCT(B4:AI4,B7:AI7)</f>
        <v>0</v>
      </c>
    </row>
    <row r="8" spans="1:36" x14ac:dyDescent="0.3">
      <c r="A8" s="51" t="s">
        <v>91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50"/>
      <c r="AB8" s="31"/>
      <c r="AC8" s="31"/>
      <c r="AD8" s="31"/>
      <c r="AE8" s="31"/>
      <c r="AF8" s="31"/>
      <c r="AG8" s="31"/>
      <c r="AH8" s="31"/>
      <c r="AI8" s="31"/>
      <c r="AJ8" s="31">
        <f>SUMPRODUCT(B4:AI4,B8:AI8)</f>
        <v>0</v>
      </c>
    </row>
    <row r="9" spans="1:36" x14ac:dyDescent="0.3">
      <c r="A9" s="51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50"/>
      <c r="AB9" s="31"/>
      <c r="AC9" s="31"/>
      <c r="AD9" s="31"/>
      <c r="AE9" s="31"/>
      <c r="AF9" s="31"/>
      <c r="AG9" s="31"/>
      <c r="AH9" s="31"/>
      <c r="AI9" s="31"/>
      <c r="AJ9" s="31">
        <f>SUMPRODUCT(B4:AI4,B9:AI9)</f>
        <v>0</v>
      </c>
    </row>
    <row r="10" spans="1:36" x14ac:dyDescent="0.3">
      <c r="A10" s="51" t="s">
        <v>92</v>
      </c>
      <c r="B10" s="31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0"/>
      <c r="AA10" s="50"/>
      <c r="AB10" s="31"/>
      <c r="AC10" s="31"/>
      <c r="AD10" s="31"/>
      <c r="AE10" s="31"/>
      <c r="AF10" s="31"/>
      <c r="AG10" s="31"/>
      <c r="AH10" s="31"/>
      <c r="AI10" s="31"/>
      <c r="AJ10" s="31">
        <f>SUMPRODUCT(B4:AI4,B10:AI10)</f>
        <v>0</v>
      </c>
    </row>
    <row r="11" spans="1:36" x14ac:dyDescent="0.3">
      <c r="A11" s="51"/>
      <c r="B11" s="31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0"/>
      <c r="AA11" s="50"/>
      <c r="AB11" s="31"/>
      <c r="AC11" s="31"/>
      <c r="AD11" s="31"/>
      <c r="AE11" s="31"/>
      <c r="AF11" s="31"/>
      <c r="AG11" s="31"/>
      <c r="AH11" s="31"/>
      <c r="AI11" s="31"/>
      <c r="AJ11" s="31">
        <f>SUMPRODUCT(B4:AI4,B11:AI11)</f>
        <v>0</v>
      </c>
    </row>
    <row r="12" spans="1:36" x14ac:dyDescent="0.3">
      <c r="A12" s="51"/>
      <c r="B12" s="31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0"/>
      <c r="AA12" s="50"/>
      <c r="AB12" s="31"/>
      <c r="AC12" s="31"/>
      <c r="AD12" s="31"/>
      <c r="AE12" s="31"/>
      <c r="AF12" s="31"/>
      <c r="AG12" s="31"/>
      <c r="AH12" s="31"/>
      <c r="AI12" s="31"/>
      <c r="AJ12" s="31">
        <f>SUMPRODUCT(B4:AI4,B12:AI12)</f>
        <v>0</v>
      </c>
    </row>
    <row r="13" spans="1:36" x14ac:dyDescent="0.3">
      <c r="A13" s="51"/>
      <c r="B13" s="31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0"/>
      <c r="AA13" s="50"/>
      <c r="AB13" s="31"/>
      <c r="AC13" s="31"/>
      <c r="AD13" s="31"/>
      <c r="AE13" s="31"/>
      <c r="AF13" s="31"/>
      <c r="AG13" s="31"/>
      <c r="AH13" s="31"/>
      <c r="AI13" s="31"/>
      <c r="AJ13" s="31">
        <f>SUMPRODUCT(B4:AI4,B13:AI13)</f>
        <v>0</v>
      </c>
    </row>
    <row r="14" spans="1:36" x14ac:dyDescent="0.3">
      <c r="A14" s="51"/>
      <c r="B14" s="31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0"/>
      <c r="AA14" s="50"/>
      <c r="AB14" s="31"/>
      <c r="AC14" s="31"/>
      <c r="AD14" s="31"/>
      <c r="AE14" s="31"/>
      <c r="AF14" s="31"/>
      <c r="AG14" s="31"/>
      <c r="AH14" s="31"/>
      <c r="AI14" s="31"/>
      <c r="AJ14" s="31">
        <f>SUMPRODUCT(B4:AI4,B14:AI14)</f>
        <v>0</v>
      </c>
    </row>
    <row r="15" spans="1:36" x14ac:dyDescent="0.3">
      <c r="A15" s="51"/>
      <c r="B15" s="31"/>
      <c r="C15" s="31"/>
      <c r="D15" s="31"/>
      <c r="E15" s="31"/>
      <c r="F15" s="31"/>
      <c r="G15" s="31"/>
      <c r="H15" s="31"/>
      <c r="I15" s="5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50"/>
      <c r="AA15" s="50"/>
      <c r="AB15" s="31"/>
      <c r="AC15" s="31"/>
      <c r="AD15" s="31"/>
      <c r="AE15" s="31"/>
      <c r="AF15" s="31"/>
      <c r="AG15" s="31"/>
      <c r="AH15" s="31"/>
      <c r="AI15" s="31"/>
      <c r="AJ15" s="31">
        <f>SUMPRODUCT(B4:AI4,B15:AI15)</f>
        <v>0</v>
      </c>
    </row>
    <row r="16" spans="1:36" x14ac:dyDescent="0.3">
      <c r="A16" s="51"/>
      <c r="B16" s="31"/>
      <c r="C16" s="31"/>
      <c r="D16" s="31"/>
      <c r="E16" s="31"/>
      <c r="F16" s="31"/>
      <c r="G16" s="31"/>
      <c r="H16" s="31"/>
      <c r="I16" s="5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50"/>
      <c r="AA16" s="50"/>
      <c r="AB16" s="31"/>
      <c r="AC16" s="31"/>
      <c r="AD16" s="31"/>
      <c r="AE16" s="31"/>
      <c r="AF16" s="31"/>
      <c r="AG16" s="31"/>
      <c r="AH16" s="31"/>
      <c r="AI16" s="31"/>
      <c r="AJ16" s="31">
        <f>SUMPRODUCT(B4:AI4,B16:AI16)</f>
        <v>0</v>
      </c>
    </row>
    <row r="17" spans="1:36" x14ac:dyDescent="0.3">
      <c r="A17" s="51"/>
      <c r="B17" s="31"/>
      <c r="C17" s="31"/>
      <c r="D17" s="31"/>
      <c r="E17" s="31"/>
      <c r="F17" s="31"/>
      <c r="G17" s="31"/>
      <c r="H17" s="31"/>
      <c r="I17" s="5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50"/>
      <c r="AA17" s="50"/>
      <c r="AB17" s="31"/>
      <c r="AC17" s="31"/>
      <c r="AD17" s="31"/>
      <c r="AE17" s="31"/>
      <c r="AF17" s="31"/>
      <c r="AG17" s="31"/>
      <c r="AH17" s="31"/>
      <c r="AI17" s="31"/>
      <c r="AJ17" s="31">
        <f>SUMPRODUCT(B4:AI4,B17:AI17)</f>
        <v>0</v>
      </c>
    </row>
    <row r="18" spans="1:36" ht="15" thickBot="1" x14ac:dyDescent="0.35">
      <c r="A18" s="5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50"/>
      <c r="AB18" s="31"/>
      <c r="AC18" s="31"/>
      <c r="AD18" s="31"/>
      <c r="AE18" s="31"/>
      <c r="AF18" s="31"/>
      <c r="AG18" s="31"/>
      <c r="AH18" s="31"/>
      <c r="AI18" s="31"/>
      <c r="AJ18" s="31">
        <f>SUMPRODUCT(B4:AI4,B18:AI18)</f>
        <v>0</v>
      </c>
    </row>
    <row r="19" spans="1:36" ht="15" thickBot="1" x14ac:dyDescent="0.35">
      <c r="A19" s="157" t="s">
        <v>86</v>
      </c>
      <c r="B19" s="144">
        <f t="shared" ref="B19:AJ19" si="0">SUM(B5:B18)</f>
        <v>0</v>
      </c>
      <c r="C19" s="144">
        <f t="shared" si="0"/>
        <v>0</v>
      </c>
      <c r="D19" s="144">
        <f t="shared" si="0"/>
        <v>0</v>
      </c>
      <c r="E19" s="144">
        <f t="shared" si="0"/>
        <v>0</v>
      </c>
      <c r="F19" s="144">
        <f t="shared" si="0"/>
        <v>0</v>
      </c>
      <c r="G19" s="144">
        <f t="shared" si="0"/>
        <v>0</v>
      </c>
      <c r="H19" s="144">
        <f t="shared" si="0"/>
        <v>0</v>
      </c>
      <c r="I19" s="145">
        <f t="shared" si="0"/>
        <v>0</v>
      </c>
      <c r="J19" s="145">
        <f t="shared" si="0"/>
        <v>0</v>
      </c>
      <c r="K19" s="145">
        <f t="shared" si="0"/>
        <v>0</v>
      </c>
      <c r="L19" s="145">
        <f t="shared" si="0"/>
        <v>0</v>
      </c>
      <c r="M19" s="145">
        <f t="shared" si="0"/>
        <v>0</v>
      </c>
      <c r="N19" s="145">
        <f t="shared" si="0"/>
        <v>0</v>
      </c>
      <c r="O19" s="145">
        <f t="shared" si="0"/>
        <v>0</v>
      </c>
      <c r="P19" s="145">
        <f t="shared" si="0"/>
        <v>0</v>
      </c>
      <c r="Q19" s="145">
        <f t="shared" si="0"/>
        <v>0</v>
      </c>
      <c r="R19" s="145">
        <f t="shared" si="0"/>
        <v>0</v>
      </c>
      <c r="S19" s="145">
        <f t="shared" si="0"/>
        <v>0</v>
      </c>
      <c r="T19" s="145">
        <f t="shared" si="0"/>
        <v>0</v>
      </c>
      <c r="U19" s="145">
        <f t="shared" si="0"/>
        <v>0</v>
      </c>
      <c r="V19" s="145">
        <f t="shared" si="0"/>
        <v>0</v>
      </c>
      <c r="W19" s="145">
        <f t="shared" si="0"/>
        <v>0</v>
      </c>
      <c r="X19" s="145">
        <f t="shared" si="0"/>
        <v>0</v>
      </c>
      <c r="Y19" s="145">
        <f t="shared" si="0"/>
        <v>0</v>
      </c>
      <c r="Z19" s="145">
        <f t="shared" si="0"/>
        <v>0</v>
      </c>
      <c r="AA19" s="146">
        <f t="shared" si="0"/>
        <v>0</v>
      </c>
      <c r="AB19" s="55">
        <f t="shared" si="0"/>
        <v>0</v>
      </c>
      <c r="AC19" s="55">
        <f t="shared" si="0"/>
        <v>0</v>
      </c>
      <c r="AD19" s="55">
        <f t="shared" si="0"/>
        <v>0</v>
      </c>
      <c r="AE19" s="55">
        <f t="shared" si="0"/>
        <v>0</v>
      </c>
      <c r="AF19" s="55">
        <f t="shared" si="0"/>
        <v>0</v>
      </c>
      <c r="AG19" s="55">
        <f t="shared" si="0"/>
        <v>0</v>
      </c>
      <c r="AH19" s="55">
        <f t="shared" si="0"/>
        <v>0</v>
      </c>
      <c r="AI19" s="55">
        <f t="shared" si="0"/>
        <v>0</v>
      </c>
      <c r="AJ19" s="55">
        <f t="shared" si="0"/>
        <v>0</v>
      </c>
    </row>
    <row r="20" spans="1:36" x14ac:dyDescent="0.3">
      <c r="A20" s="156" t="s">
        <v>80</v>
      </c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5"/>
      <c r="AB20" s="166"/>
      <c r="AC20" s="166"/>
      <c r="AD20" s="166"/>
      <c r="AE20" s="166"/>
      <c r="AF20" s="167"/>
      <c r="AG20" s="167"/>
      <c r="AH20" s="167"/>
      <c r="AI20" s="85"/>
      <c r="AJ20" s="85"/>
    </row>
    <row r="21" spans="1:36" ht="3.6" hidden="1" customHeight="1" x14ac:dyDescent="0.35">
      <c r="A21" s="78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80"/>
      <c r="AG21" s="80"/>
      <c r="AH21" s="86"/>
      <c r="AI21" s="86"/>
      <c r="AJ21" s="86"/>
    </row>
    <row r="22" spans="1:36" ht="21.6" customHeight="1" x14ac:dyDescent="0.35">
      <c r="A22" s="155" t="s">
        <v>162</v>
      </c>
      <c r="B22" s="32"/>
      <c r="C22" s="162" t="str">
        <f>INT((C19+C20)/14)&amp; "/14 + " &amp; (C19+C20)-INT((C19+C20)/14)*14</f>
        <v>0/14 + 0</v>
      </c>
      <c r="D22" s="162" t="str">
        <f>INT((D19+D20)/14)&amp; "/14 + " &amp; (D19+D20)-INT((D19+D20)/14)*14</f>
        <v>0/14 + 0</v>
      </c>
      <c r="E22" s="32"/>
      <c r="F22" s="32"/>
      <c r="G22" s="32"/>
      <c r="H22" s="32"/>
      <c r="I22" s="32"/>
      <c r="J22" s="32"/>
      <c r="K22" s="32"/>
      <c r="L22" s="32"/>
      <c r="M22" s="32"/>
      <c r="N22" s="162" t="str">
        <f>INT((N19+N20)/14)&amp; "/14 + " &amp; (N19+N20)-INT((N19+N20)/14)*14</f>
        <v>0/14 + 0</v>
      </c>
      <c r="O22" s="162" t="str">
        <f>INT((O19+O20)/14)&amp; "/14 + " &amp; (O19+O20)-INT((O19+O20)/14)*14</f>
        <v>0/14 + 0</v>
      </c>
      <c r="P22" s="162" t="str">
        <f>INT((P19+P20)/14)&amp; "/14 + " &amp; (P19+P20)-INT((P19+P20)/14)*14</f>
        <v>0/14 + 0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79"/>
      <c r="AB22" s="59"/>
      <c r="AC22" s="59"/>
      <c r="AD22" s="59"/>
      <c r="AE22" s="59"/>
      <c r="AF22" s="59"/>
      <c r="AG22" s="59"/>
      <c r="AH22" s="31"/>
      <c r="AI22" s="31"/>
      <c r="AJ22" s="31"/>
    </row>
  </sheetData>
  <mergeCells count="2">
    <mergeCell ref="A1:A2"/>
    <mergeCell ref="B1:AJ2"/>
  </mergeCells>
  <pageMargins left="0" right="0" top="0" bottom="0" header="0" footer="0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pageSetUpPr fitToPage="1"/>
  </sheetPr>
  <dimension ref="A1:AL19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3.44140625" style="60" customWidth="1"/>
    <col min="2" max="37" width="3.6640625" style="30" customWidth="1"/>
    <col min="38" max="38" width="6.33203125" style="30" customWidth="1"/>
    <col min="39" max="16384" width="8.88671875" style="30"/>
  </cols>
  <sheetData>
    <row r="1" spans="1:38" ht="15" thickBot="1" x14ac:dyDescent="0.35">
      <c r="A1" s="225" t="s">
        <v>63</v>
      </c>
      <c r="B1" s="227" t="s">
        <v>93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</row>
    <row r="2" spans="1:38" ht="15" thickBot="1" x14ac:dyDescent="0.35">
      <c r="A2" s="226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</row>
    <row r="3" spans="1:38" ht="162" customHeight="1" thickBot="1" x14ac:dyDescent="0.35">
      <c r="A3" s="48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65"/>
      <c r="AK3" s="65"/>
      <c r="AL3" s="65" t="s">
        <v>59</v>
      </c>
    </row>
    <row r="4" spans="1:38" ht="15" thickBot="1" x14ac:dyDescent="0.35">
      <c r="A4" s="91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42"/>
      <c r="AK4" s="42"/>
      <c r="AL4" s="42"/>
    </row>
    <row r="5" spans="1:38" x14ac:dyDescent="0.3">
      <c r="A5" s="70"/>
      <c r="B5" s="7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63"/>
      <c r="AC5" s="40"/>
      <c r="AD5" s="40"/>
      <c r="AE5" s="40"/>
      <c r="AF5" s="40"/>
      <c r="AG5" s="40"/>
      <c r="AH5" s="40"/>
      <c r="AI5" s="40"/>
      <c r="AJ5" s="40"/>
      <c r="AK5" s="40"/>
      <c r="AL5" s="40">
        <f>SUMPRODUCT(B4:AK4,B5:AK5)</f>
        <v>0</v>
      </c>
    </row>
    <row r="6" spans="1:38" x14ac:dyDescent="0.3">
      <c r="B6" s="58"/>
      <c r="C6" s="92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63"/>
      <c r="AC6" s="31"/>
      <c r="AD6" s="31"/>
      <c r="AE6" s="31"/>
      <c r="AF6" s="31"/>
      <c r="AG6" s="31"/>
      <c r="AH6" s="31"/>
      <c r="AI6" s="31"/>
      <c r="AJ6" s="31"/>
      <c r="AK6" s="31"/>
      <c r="AL6" s="31">
        <f>SUMPRODUCT(B4:AK4,B6:AK6)</f>
        <v>0</v>
      </c>
    </row>
    <row r="7" spans="1:38" x14ac:dyDescent="0.3">
      <c r="A7" s="51" t="s">
        <v>94</v>
      </c>
      <c r="B7" s="31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63"/>
      <c r="AC7" s="31"/>
      <c r="AD7" s="31"/>
      <c r="AE7" s="31"/>
      <c r="AF7" s="31"/>
      <c r="AG7" s="31"/>
      <c r="AH7" s="31"/>
      <c r="AI7" s="31"/>
      <c r="AJ7" s="31"/>
      <c r="AK7" s="31"/>
      <c r="AL7" s="31">
        <f>SUMPRODUCT(B4:AK4,B7:AK7)</f>
        <v>0</v>
      </c>
    </row>
    <row r="8" spans="1:38" x14ac:dyDescent="0.3">
      <c r="A8" s="51" t="s">
        <v>95</v>
      </c>
      <c r="B8" s="31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63"/>
      <c r="AC8" s="31"/>
      <c r="AD8" s="31"/>
      <c r="AE8" s="31"/>
      <c r="AF8" s="31"/>
      <c r="AG8" s="31"/>
      <c r="AH8" s="31"/>
      <c r="AI8" s="31"/>
      <c r="AJ8" s="31"/>
      <c r="AK8" s="31"/>
      <c r="AL8" s="31">
        <f>SUMPRODUCT(B4:AK4,B8:AK8)</f>
        <v>0</v>
      </c>
    </row>
    <row r="9" spans="1:38" x14ac:dyDescent="0.3">
      <c r="A9" s="49"/>
      <c r="B9" s="31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63"/>
      <c r="AC9" s="31"/>
      <c r="AD9" s="31"/>
      <c r="AE9" s="31"/>
      <c r="AF9" s="31"/>
      <c r="AG9" s="31"/>
      <c r="AH9" s="31"/>
      <c r="AI9" s="31"/>
      <c r="AJ9" s="31"/>
      <c r="AK9" s="31"/>
      <c r="AL9" s="31">
        <f>SUMPRODUCT(B4:AK4,B9:AK9)</f>
        <v>0</v>
      </c>
    </row>
    <row r="10" spans="1:38" x14ac:dyDescent="0.3">
      <c r="A10" s="49" t="s">
        <v>96</v>
      </c>
      <c r="B10" s="31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63"/>
      <c r="AC10" s="31"/>
      <c r="AD10" s="31"/>
      <c r="AE10" s="31"/>
      <c r="AF10" s="31"/>
      <c r="AG10" s="31"/>
      <c r="AH10" s="31"/>
      <c r="AI10" s="31"/>
      <c r="AJ10" s="31"/>
      <c r="AK10" s="31"/>
      <c r="AL10" s="31">
        <f>SUMPRODUCT(B4:AK4,B10:AK10)</f>
        <v>0</v>
      </c>
    </row>
    <row r="11" spans="1:38" x14ac:dyDescent="0.3">
      <c r="A11" s="93" t="s">
        <v>97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50"/>
      <c r="AC11" s="31"/>
      <c r="AD11" s="31"/>
      <c r="AE11" s="31"/>
      <c r="AF11" s="31"/>
      <c r="AG11" s="31"/>
      <c r="AH11" s="31"/>
      <c r="AI11" s="31"/>
      <c r="AJ11" s="31"/>
      <c r="AK11" s="31"/>
      <c r="AL11" s="31">
        <f>SUMPRODUCT(B4:AK4,B11:AK11)</f>
        <v>0</v>
      </c>
    </row>
    <row r="12" spans="1:38" x14ac:dyDescent="0.3">
      <c r="A12" s="51" t="s">
        <v>98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50"/>
      <c r="AC12" s="31"/>
      <c r="AD12" s="31"/>
      <c r="AE12" s="31"/>
      <c r="AF12" s="31"/>
      <c r="AG12" s="31"/>
      <c r="AH12" s="31"/>
      <c r="AI12" s="31"/>
      <c r="AJ12" s="31"/>
      <c r="AK12" s="31"/>
      <c r="AL12" s="31">
        <f>SUMPRODUCT(B4:AK4,B12:AK12)</f>
        <v>0</v>
      </c>
    </row>
    <row r="13" spans="1:38" x14ac:dyDescent="0.3">
      <c r="A13" s="51" t="s">
        <v>99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50"/>
      <c r="AC13" s="31"/>
      <c r="AD13" s="31"/>
      <c r="AE13" s="31"/>
      <c r="AF13" s="31"/>
      <c r="AG13" s="31"/>
      <c r="AH13" s="31"/>
      <c r="AI13" s="31"/>
      <c r="AJ13" s="31"/>
      <c r="AK13" s="31"/>
      <c r="AL13" s="31">
        <f>SUMPRODUCT(B4:AK4,B13:AK13)</f>
        <v>0</v>
      </c>
    </row>
    <row r="14" spans="1:38" x14ac:dyDescent="0.3">
      <c r="A14" s="57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50"/>
      <c r="AC14" s="31"/>
      <c r="AD14" s="31"/>
      <c r="AE14" s="31"/>
      <c r="AF14" s="31"/>
      <c r="AG14" s="31"/>
      <c r="AH14" s="31"/>
      <c r="AI14" s="31"/>
      <c r="AJ14" s="31"/>
      <c r="AK14" s="31"/>
      <c r="AL14" s="31">
        <f>SUMPRODUCT(B4:AK4,B14:AK14)</f>
        <v>0</v>
      </c>
    </row>
    <row r="15" spans="1:38" x14ac:dyDescent="0.3">
      <c r="A15" s="58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40"/>
      <c r="AB15" s="50"/>
      <c r="AC15" s="31"/>
      <c r="AD15" s="31"/>
      <c r="AE15" s="31"/>
      <c r="AF15" s="31"/>
      <c r="AG15" s="31"/>
      <c r="AH15" s="31"/>
      <c r="AI15" s="31"/>
      <c r="AJ15" s="31"/>
      <c r="AK15" s="31"/>
      <c r="AL15" s="31">
        <f>SUMPRODUCT(B4:AK4,B15:AK15)</f>
        <v>0</v>
      </c>
    </row>
    <row r="16" spans="1:38" ht="18.600000000000001" thickBot="1" x14ac:dyDescent="0.4">
      <c r="A16" s="58" t="s">
        <v>3</v>
      </c>
      <c r="B16" s="149">
        <f t="shared" ref="B16:AA16" si="0">SUM(B5:B15)</f>
        <v>0</v>
      </c>
      <c r="C16" s="149">
        <f t="shared" si="0"/>
        <v>0</v>
      </c>
      <c r="D16" s="149">
        <f t="shared" si="0"/>
        <v>0</v>
      </c>
      <c r="E16" s="149">
        <f t="shared" si="0"/>
        <v>0</v>
      </c>
      <c r="F16" s="149">
        <f t="shared" si="0"/>
        <v>0</v>
      </c>
      <c r="G16" s="149">
        <f t="shared" si="0"/>
        <v>0</v>
      </c>
      <c r="H16" s="149">
        <f t="shared" si="0"/>
        <v>0</v>
      </c>
      <c r="I16" s="149">
        <f t="shared" si="0"/>
        <v>0</v>
      </c>
      <c r="J16" s="149">
        <f t="shared" si="0"/>
        <v>0</v>
      </c>
      <c r="K16" s="149">
        <f t="shared" si="0"/>
        <v>0</v>
      </c>
      <c r="L16" s="149">
        <f t="shared" si="0"/>
        <v>0</v>
      </c>
      <c r="M16" s="149">
        <f t="shared" si="0"/>
        <v>0</v>
      </c>
      <c r="N16" s="149">
        <f t="shared" si="0"/>
        <v>0</v>
      </c>
      <c r="O16" s="149">
        <f t="shared" si="0"/>
        <v>0</v>
      </c>
      <c r="P16" s="149">
        <f t="shared" si="0"/>
        <v>0</v>
      </c>
      <c r="Q16" s="149">
        <f t="shared" si="0"/>
        <v>0</v>
      </c>
      <c r="R16" s="149">
        <f t="shared" si="0"/>
        <v>0</v>
      </c>
      <c r="S16" s="149">
        <f t="shared" si="0"/>
        <v>0</v>
      </c>
      <c r="T16" s="149">
        <f t="shared" si="0"/>
        <v>0</v>
      </c>
      <c r="U16" s="149">
        <f t="shared" si="0"/>
        <v>0</v>
      </c>
      <c r="V16" s="149">
        <f t="shared" si="0"/>
        <v>0</v>
      </c>
      <c r="W16" s="149">
        <f t="shared" si="0"/>
        <v>0</v>
      </c>
      <c r="X16" s="149">
        <f t="shared" si="0"/>
        <v>0</v>
      </c>
      <c r="Y16" s="149">
        <f t="shared" si="0"/>
        <v>0</v>
      </c>
      <c r="Z16" s="149">
        <f t="shared" si="0"/>
        <v>0</v>
      </c>
      <c r="AA16" s="149">
        <f t="shared" si="0"/>
        <v>0</v>
      </c>
      <c r="AB16" s="94">
        <f>SUM(AB5:AB15)</f>
        <v>0</v>
      </c>
      <c r="AC16" s="55">
        <f t="shared" ref="AC16:AL16" si="1">SUM(AC5:AC15)</f>
        <v>0</v>
      </c>
      <c r="AD16" s="55">
        <f t="shared" si="1"/>
        <v>0</v>
      </c>
      <c r="AE16" s="55">
        <f t="shared" si="1"/>
        <v>0</v>
      </c>
      <c r="AF16" s="55">
        <f>SUM(AF5:AF15)</f>
        <v>0</v>
      </c>
      <c r="AG16" s="55">
        <f t="shared" si="1"/>
        <v>0</v>
      </c>
      <c r="AH16" s="55">
        <f t="shared" si="1"/>
        <v>0</v>
      </c>
      <c r="AI16" s="59">
        <f t="shared" si="1"/>
        <v>0</v>
      </c>
      <c r="AJ16" s="59">
        <f t="shared" si="1"/>
        <v>0</v>
      </c>
      <c r="AK16" s="59">
        <f t="shared" si="1"/>
        <v>0</v>
      </c>
      <c r="AL16" s="32">
        <f t="shared" si="1"/>
        <v>0</v>
      </c>
    </row>
    <row r="17" spans="1:38" x14ac:dyDescent="0.3">
      <c r="A17" s="58" t="s">
        <v>80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50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1:38" ht="23.4" customHeight="1" x14ac:dyDescent="0.35">
      <c r="A18" s="58" t="s">
        <v>162</v>
      </c>
      <c r="B18" s="32"/>
      <c r="C18" s="162" t="str">
        <f>INT((C16+C17)/14)&amp; "/14 + " &amp; (C16+C17)-INT((C16+C17)/14)*14</f>
        <v>0/14 + 0</v>
      </c>
      <c r="D18" s="162" t="str">
        <f>INT((D16+D17)/14)&amp; "/14 + " &amp; (D16+D17)-INT((D16+D17)/14)*14</f>
        <v>0/14 + 0</v>
      </c>
      <c r="E18" s="32"/>
      <c r="F18" s="32"/>
      <c r="G18" s="32"/>
      <c r="H18" s="32"/>
      <c r="I18" s="32"/>
      <c r="J18" s="32"/>
      <c r="K18" s="32"/>
      <c r="L18" s="32"/>
      <c r="M18" s="32"/>
      <c r="N18" s="162" t="str">
        <f>INT((N16+N17)/14)&amp; "/14 + " &amp; (N16+N17)-INT((N16+N17)/14)*14</f>
        <v>0/14 + 0</v>
      </c>
      <c r="O18" s="162" t="str">
        <f>INT((O16+O17)/14)&amp; "/14 + " &amp; (O16+O17)-INT((O16+O17)/14)*14</f>
        <v>0/14 + 0</v>
      </c>
      <c r="P18" s="162" t="str">
        <f>INT((P16+P17)/14)&amp; "/14 + " &amp; (P16+P17)-INT((P16+P17)/14)*14</f>
        <v>0/14 + 0</v>
      </c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1"/>
      <c r="AK18" s="31"/>
      <c r="AL18" s="31"/>
    </row>
    <row r="19" spans="1:38" x14ac:dyDescent="0.3">
      <c r="B19" s="46"/>
      <c r="C19" s="46"/>
      <c r="G19" s="217"/>
      <c r="H19" s="217"/>
    </row>
  </sheetData>
  <mergeCells count="3">
    <mergeCell ref="A1:A2"/>
    <mergeCell ref="G19:H19"/>
    <mergeCell ref="B1:AL2"/>
  </mergeCells>
  <pageMargins left="0" right="0" top="0" bottom="0" header="0" footer="0"/>
  <pageSetup paperSize="9" scale="92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Q40"/>
  <sheetViews>
    <sheetView topLeftCell="A13" zoomScaleNormal="100" workbookViewId="0">
      <selection activeCell="A5" sqref="A5"/>
    </sheetView>
  </sheetViews>
  <sheetFormatPr defaultColWidth="8.88671875" defaultRowHeight="14.4" x14ac:dyDescent="0.3"/>
  <cols>
    <col min="1" max="1" width="28" style="30" customWidth="1"/>
    <col min="2" max="2" width="7.6640625" style="30" customWidth="1"/>
    <col min="3" max="3" width="8.5546875" style="30" customWidth="1"/>
    <col min="4" max="11" width="7.6640625" style="30" customWidth="1"/>
    <col min="12" max="12" width="16.33203125" style="30" customWidth="1"/>
    <col min="13" max="16384" width="8.88671875" style="30"/>
  </cols>
  <sheetData>
    <row r="1" spans="1:17" ht="18.600000000000001" thickBot="1" x14ac:dyDescent="0.4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7" ht="15" customHeight="1" x14ac:dyDescent="0.35">
      <c r="A2" s="230"/>
      <c r="B2" s="232" t="s">
        <v>144</v>
      </c>
      <c r="C2" s="233"/>
      <c r="D2" s="233"/>
      <c r="E2" s="233"/>
      <c r="F2" s="233"/>
      <c r="G2" s="233"/>
      <c r="H2" s="233"/>
      <c r="I2" s="233"/>
      <c r="J2" s="233"/>
      <c r="K2" s="115"/>
      <c r="L2" s="235"/>
    </row>
    <row r="3" spans="1:17" ht="18.600000000000001" thickBot="1" x14ac:dyDescent="0.4">
      <c r="A3" s="231"/>
      <c r="B3" s="234"/>
      <c r="C3" s="234"/>
      <c r="D3" s="234"/>
      <c r="E3" s="234"/>
      <c r="F3" s="234"/>
      <c r="G3" s="234"/>
      <c r="H3" s="234"/>
      <c r="I3" s="234"/>
      <c r="J3" s="234"/>
      <c r="K3" s="116"/>
      <c r="L3" s="236"/>
    </row>
    <row r="4" spans="1:17" ht="126" thickBot="1" x14ac:dyDescent="0.4">
      <c r="A4" s="117">
        <f>Итого!C2</f>
        <v>44171</v>
      </c>
      <c r="B4" s="118" t="s">
        <v>145</v>
      </c>
      <c r="C4" s="118" t="s">
        <v>146</v>
      </c>
      <c r="D4" s="118" t="s">
        <v>6</v>
      </c>
      <c r="E4" s="118" t="s">
        <v>147</v>
      </c>
      <c r="F4" s="118" t="s">
        <v>148</v>
      </c>
      <c r="G4" s="119" t="s">
        <v>149</v>
      </c>
      <c r="H4" s="119" t="s">
        <v>60</v>
      </c>
      <c r="I4" s="118" t="s">
        <v>150</v>
      </c>
      <c r="J4" s="120" t="s">
        <v>151</v>
      </c>
      <c r="K4" s="120" t="s">
        <v>19</v>
      </c>
      <c r="L4" s="121" t="s">
        <v>59</v>
      </c>
    </row>
    <row r="5" spans="1:17" ht="18.600000000000001" thickBot="1" x14ac:dyDescent="0.4">
      <c r="A5" s="122"/>
      <c r="B5" s="123">
        <v>11</v>
      </c>
      <c r="C5" s="123">
        <v>12.75</v>
      </c>
      <c r="D5" s="123">
        <v>17</v>
      </c>
      <c r="E5" s="123">
        <v>17</v>
      </c>
      <c r="F5" s="123">
        <v>13</v>
      </c>
      <c r="G5" s="123">
        <v>13</v>
      </c>
      <c r="H5" s="123">
        <v>22</v>
      </c>
      <c r="I5" s="123">
        <v>11</v>
      </c>
      <c r="J5" s="123">
        <v>13</v>
      </c>
      <c r="K5" s="123">
        <v>15</v>
      </c>
      <c r="L5" s="123"/>
    </row>
    <row r="6" spans="1:17" ht="18" x14ac:dyDescent="0.35">
      <c r="A6" s="105" t="s">
        <v>152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79">
        <f>SUMPRODUCT(B5:K5,B6:K6)</f>
        <v>0</v>
      </c>
    </row>
    <row r="7" spans="1:17" ht="18" x14ac:dyDescent="0.35">
      <c r="A7" s="124" t="s">
        <v>153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59">
        <f>SUMPRODUCT(B5:K5,B7:K7)</f>
        <v>0</v>
      </c>
    </row>
    <row r="8" spans="1:17" ht="18" x14ac:dyDescent="0.35">
      <c r="A8" s="124" t="s">
        <v>154</v>
      </c>
      <c r="B8" s="32"/>
      <c r="C8" s="32"/>
      <c r="D8" s="32"/>
      <c r="E8" s="81"/>
      <c r="F8" s="81"/>
      <c r="G8" s="32"/>
      <c r="H8" s="32"/>
      <c r="I8" s="32"/>
      <c r="J8" s="32"/>
      <c r="K8" s="32"/>
      <c r="L8" s="59">
        <f>SUMPRODUCT(B5:K5,B8:K8)</f>
        <v>0</v>
      </c>
    </row>
    <row r="9" spans="1:17" ht="18" x14ac:dyDescent="0.35">
      <c r="A9" s="124"/>
      <c r="B9" s="32"/>
      <c r="C9" s="32"/>
      <c r="D9" s="32"/>
      <c r="E9" s="32"/>
      <c r="F9" s="32"/>
      <c r="G9" s="32"/>
      <c r="H9" s="32"/>
      <c r="I9" s="32"/>
      <c r="J9" s="32"/>
      <c r="K9" s="32"/>
      <c r="L9" s="59">
        <f>SUMPRODUCT(B5:K5,B9:K9)</f>
        <v>0</v>
      </c>
    </row>
    <row r="10" spans="1:17" ht="18" x14ac:dyDescent="0.35">
      <c r="A10" s="124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59">
        <f>SUMPRODUCT(B5:K5,B10:K10)</f>
        <v>0</v>
      </c>
    </row>
    <row r="11" spans="1:17" ht="18" x14ac:dyDescent="0.35">
      <c r="A11" s="124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59">
        <f>SUMPRODUCT(B5:K5,B11:K11)</f>
        <v>0</v>
      </c>
    </row>
    <row r="12" spans="1:17" ht="18" x14ac:dyDescent="0.35">
      <c r="A12" s="124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59">
        <f>SUMPRODUCT(B5:K5,B12:K12)</f>
        <v>0</v>
      </c>
    </row>
    <row r="13" spans="1:17" ht="18" x14ac:dyDescent="0.35">
      <c r="A13" s="124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59">
        <f>SUMPRODUCT(B5:K5,B13:K13)</f>
        <v>0</v>
      </c>
    </row>
    <row r="14" spans="1:17" ht="18" x14ac:dyDescent="0.35">
      <c r="A14" s="124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59">
        <f>SUMPRODUCT(B5:K5,B14:K14)</f>
        <v>0</v>
      </c>
      <c r="Q14" s="125"/>
    </row>
    <row r="15" spans="1:17" ht="18" x14ac:dyDescent="0.35">
      <c r="A15" s="124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59">
        <f>SUMPRODUCT(B5:K5,B15:K15)</f>
        <v>0</v>
      </c>
    </row>
    <row r="16" spans="1:17" ht="18.600000000000001" thickBot="1" x14ac:dyDescent="0.4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76">
        <f>SUMPRODUCT(B5:K5,B16:K16)</f>
        <v>0</v>
      </c>
    </row>
    <row r="17" spans="1:13" ht="18.600000000000001" thickBot="1" x14ac:dyDescent="0.4">
      <c r="A17" s="128" t="s">
        <v>155</v>
      </c>
      <c r="B17" s="72">
        <f>SUM(B6:B16)</f>
        <v>0</v>
      </c>
      <c r="C17" s="72">
        <f t="shared" ref="C17:L17" si="0">SUM(C6:C16)</f>
        <v>0</v>
      </c>
      <c r="D17" s="72">
        <f t="shared" si="0"/>
        <v>0</v>
      </c>
      <c r="E17" s="72">
        <f t="shared" si="0"/>
        <v>0</v>
      </c>
      <c r="F17" s="72">
        <f t="shared" si="0"/>
        <v>0</v>
      </c>
      <c r="G17" s="72">
        <f t="shared" si="0"/>
        <v>0</v>
      </c>
      <c r="H17" s="72">
        <f t="shared" si="0"/>
        <v>0</v>
      </c>
      <c r="I17" s="73">
        <f t="shared" si="0"/>
        <v>0</v>
      </c>
      <c r="J17" s="73">
        <f t="shared" si="0"/>
        <v>0</v>
      </c>
      <c r="K17" s="73">
        <f t="shared" si="0"/>
        <v>0</v>
      </c>
      <c r="L17" s="129">
        <f t="shared" si="0"/>
        <v>0</v>
      </c>
    </row>
    <row r="18" spans="1:13" ht="18" x14ac:dyDescent="0.35">
      <c r="A18" s="81" t="s">
        <v>39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</row>
    <row r="19" spans="1:13" ht="21" x14ac:dyDescent="0.4">
      <c r="A19" s="130" t="s">
        <v>156</v>
      </c>
      <c r="B19" s="61"/>
      <c r="C19" s="61"/>
      <c r="G19" s="61"/>
      <c r="H19" s="61"/>
    </row>
    <row r="22" spans="1:13" ht="18.600000000000001" thickBot="1" x14ac:dyDescent="0.4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3" ht="18" x14ac:dyDescent="0.35">
      <c r="A23" s="230"/>
      <c r="B23" s="233"/>
      <c r="C23" s="233"/>
      <c r="D23" s="233"/>
      <c r="E23" s="233"/>
      <c r="F23" s="233"/>
      <c r="G23" s="233"/>
      <c r="H23" s="233"/>
      <c r="I23" s="233"/>
      <c r="J23" s="233"/>
      <c r="K23" s="115"/>
      <c r="L23" s="235"/>
    </row>
    <row r="24" spans="1:13" ht="1.5" customHeight="1" thickBot="1" x14ac:dyDescent="0.4">
      <c r="A24" s="231"/>
      <c r="B24" s="234"/>
      <c r="C24" s="234"/>
      <c r="D24" s="234"/>
      <c r="E24" s="234"/>
      <c r="F24" s="234"/>
      <c r="G24" s="234"/>
      <c r="H24" s="234"/>
      <c r="I24" s="234"/>
      <c r="J24" s="234"/>
      <c r="K24" s="116"/>
      <c r="L24" s="236"/>
    </row>
    <row r="25" spans="1:13" ht="78" customHeight="1" thickBot="1" x14ac:dyDescent="0.4">
      <c r="A25" s="117">
        <f>A4</f>
        <v>44171</v>
      </c>
      <c r="B25" s="131"/>
      <c r="C25" s="131" t="s">
        <v>146</v>
      </c>
      <c r="D25" s="131" t="s">
        <v>6</v>
      </c>
      <c r="E25" s="131" t="s">
        <v>147</v>
      </c>
      <c r="F25" s="131" t="s">
        <v>148</v>
      </c>
      <c r="G25" s="132" t="s">
        <v>149</v>
      </c>
      <c r="H25" s="132" t="s">
        <v>60</v>
      </c>
      <c r="I25" s="131" t="s">
        <v>157</v>
      </c>
      <c r="J25" s="133" t="s">
        <v>151</v>
      </c>
      <c r="K25" s="133" t="s">
        <v>29</v>
      </c>
      <c r="L25" s="121" t="s">
        <v>59</v>
      </c>
    </row>
    <row r="26" spans="1:13" ht="18.600000000000001" thickBot="1" x14ac:dyDescent="0.4">
      <c r="A26" s="122"/>
      <c r="B26" s="123"/>
      <c r="C26" s="123">
        <v>11</v>
      </c>
      <c r="D26" s="123">
        <v>17</v>
      </c>
      <c r="E26" s="123">
        <v>17</v>
      </c>
      <c r="F26" s="123">
        <v>12</v>
      </c>
      <c r="G26" s="123">
        <v>12</v>
      </c>
      <c r="H26" s="123">
        <v>20</v>
      </c>
      <c r="I26" s="123">
        <v>12</v>
      </c>
      <c r="J26" s="123">
        <v>12</v>
      </c>
      <c r="K26" s="123">
        <v>15</v>
      </c>
      <c r="L26" s="123"/>
    </row>
    <row r="27" spans="1:13" ht="18" x14ac:dyDescent="0.35">
      <c r="A27" s="105" t="s">
        <v>152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79">
        <f>SUMPRODUCT(B26:K26,B27:K27)</f>
        <v>0</v>
      </c>
    </row>
    <row r="28" spans="1:13" ht="18" x14ac:dyDescent="0.35">
      <c r="A28" s="124" t="s">
        <v>153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59">
        <f>SUMPRODUCT(B26:K26,B28:K28)</f>
        <v>0</v>
      </c>
    </row>
    <row r="29" spans="1:13" ht="18.600000000000001" thickBot="1" x14ac:dyDescent="0.4">
      <c r="A29" s="124" t="s">
        <v>158</v>
      </c>
      <c r="B29" s="32"/>
      <c r="C29" s="32"/>
      <c r="D29" s="32"/>
      <c r="E29" s="81"/>
      <c r="F29" s="81"/>
      <c r="G29" s="32"/>
      <c r="H29" s="32"/>
      <c r="I29" s="32"/>
      <c r="J29" s="32"/>
      <c r="K29" s="32"/>
      <c r="L29" s="59">
        <f>SUMPRODUCT(B26:K26,B29:K29)</f>
        <v>0</v>
      </c>
    </row>
    <row r="30" spans="1:13" ht="18.600000000000001" thickBot="1" x14ac:dyDescent="0.4">
      <c r="A30" s="128" t="s">
        <v>155</v>
      </c>
      <c r="B30" s="72"/>
      <c r="C30" s="72">
        <f t="shared" ref="C30:L30" si="1">SUM(C27:C29)</f>
        <v>0</v>
      </c>
      <c r="D30" s="72">
        <f t="shared" si="1"/>
        <v>0</v>
      </c>
      <c r="E30" s="72">
        <f t="shared" si="1"/>
        <v>0</v>
      </c>
      <c r="F30" s="72">
        <f t="shared" si="1"/>
        <v>0</v>
      </c>
      <c r="G30" s="72">
        <f t="shared" si="1"/>
        <v>0</v>
      </c>
      <c r="H30" s="72">
        <f t="shared" si="1"/>
        <v>0</v>
      </c>
      <c r="I30" s="73">
        <f t="shared" si="1"/>
        <v>0</v>
      </c>
      <c r="J30" s="73">
        <f t="shared" si="1"/>
        <v>0</v>
      </c>
      <c r="K30" s="73">
        <f t="shared" si="1"/>
        <v>0</v>
      </c>
      <c r="L30" s="129">
        <f t="shared" si="1"/>
        <v>0</v>
      </c>
    </row>
    <row r="31" spans="1:13" ht="18" x14ac:dyDescent="0.35">
      <c r="A31" s="81" t="s">
        <v>39</v>
      </c>
      <c r="B31" s="134"/>
      <c r="C31" s="81"/>
      <c r="D31" s="81"/>
      <c r="E31" s="81"/>
      <c r="F31" s="81"/>
      <c r="G31" s="81"/>
      <c r="H31" s="81"/>
      <c r="I31" s="81"/>
      <c r="J31" s="81"/>
      <c r="K31" s="81"/>
      <c r="L31" s="81"/>
    </row>
    <row r="32" spans="1:13" ht="21" x14ac:dyDescent="0.4">
      <c r="A32" s="135" t="s">
        <v>159</v>
      </c>
      <c r="B32" s="136"/>
      <c r="C32" s="136"/>
      <c r="D32" s="137"/>
      <c r="E32" s="137"/>
      <c r="F32" s="137"/>
      <c r="G32" s="136"/>
      <c r="H32" s="136"/>
      <c r="I32" s="137"/>
      <c r="J32" s="137"/>
      <c r="K32" s="137"/>
      <c r="L32" s="137"/>
      <c r="M32" s="137"/>
    </row>
    <row r="33" spans="1:12" x14ac:dyDescent="0.3">
      <c r="B33" s="217"/>
      <c r="C33" s="217"/>
      <c r="G33" s="217"/>
      <c r="H33" s="217"/>
    </row>
    <row r="34" spans="1:12" ht="18" x14ac:dyDescent="0.35">
      <c r="A34" s="138"/>
      <c r="B34" s="229"/>
      <c r="C34" s="229"/>
      <c r="D34" s="229"/>
      <c r="E34" s="229"/>
      <c r="F34" s="229"/>
      <c r="G34" s="229"/>
      <c r="H34" s="229"/>
      <c r="I34" s="229"/>
      <c r="J34" s="229"/>
      <c r="K34" s="138"/>
      <c r="L34" s="139"/>
    </row>
    <row r="35" spans="1:12" ht="80.25" customHeight="1" thickBot="1" x14ac:dyDescent="0.4">
      <c r="A35" s="140">
        <f>A4</f>
        <v>44171</v>
      </c>
      <c r="B35" s="141"/>
      <c r="C35" s="141" t="s">
        <v>146</v>
      </c>
      <c r="D35" s="141" t="s">
        <v>6</v>
      </c>
      <c r="E35" s="141" t="s">
        <v>147</v>
      </c>
      <c r="F35" s="141" t="s">
        <v>148</v>
      </c>
      <c r="G35" s="142" t="s">
        <v>149</v>
      </c>
      <c r="H35" s="142" t="s">
        <v>60</v>
      </c>
      <c r="I35" s="141" t="s">
        <v>157</v>
      </c>
      <c r="J35" s="133" t="s">
        <v>151</v>
      </c>
      <c r="K35" s="133" t="s">
        <v>29</v>
      </c>
      <c r="L35" s="143" t="s">
        <v>59</v>
      </c>
    </row>
    <row r="36" spans="1:12" ht="18.600000000000001" thickBot="1" x14ac:dyDescent="0.4">
      <c r="A36" s="122"/>
      <c r="B36" s="123"/>
      <c r="C36" s="123">
        <v>11</v>
      </c>
      <c r="D36" s="123">
        <v>17</v>
      </c>
      <c r="E36" s="123">
        <v>17</v>
      </c>
      <c r="F36" s="123">
        <v>12</v>
      </c>
      <c r="G36" s="123">
        <v>12</v>
      </c>
      <c r="H36" s="123">
        <v>20</v>
      </c>
      <c r="I36" s="123">
        <v>12</v>
      </c>
      <c r="J36" s="123">
        <v>12</v>
      </c>
      <c r="K36" s="123">
        <v>15</v>
      </c>
      <c r="L36" s="123"/>
    </row>
    <row r="37" spans="1:12" ht="18" x14ac:dyDescent="0.35">
      <c r="A37" s="124" t="s">
        <v>160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59">
        <f>SUMPRODUCT(B36:K36,B37:K37)</f>
        <v>0</v>
      </c>
    </row>
    <row r="38" spans="1:12" ht="18.600000000000001" thickBot="1" x14ac:dyDescent="0.4">
      <c r="A38" s="124" t="s">
        <v>161</v>
      </c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59">
        <f>SUMPRODUCT(B36:K36,B38:K38)</f>
        <v>0</v>
      </c>
    </row>
    <row r="39" spans="1:12" ht="18.600000000000001" thickBot="1" x14ac:dyDescent="0.4">
      <c r="A39" s="128" t="s">
        <v>155</v>
      </c>
      <c r="B39" s="72"/>
      <c r="C39" s="72">
        <f t="shared" ref="C39:L39" si="2">SUM(C37:C38)</f>
        <v>0</v>
      </c>
      <c r="D39" s="72">
        <f t="shared" si="2"/>
        <v>0</v>
      </c>
      <c r="E39" s="72">
        <f t="shared" si="2"/>
        <v>0</v>
      </c>
      <c r="F39" s="72">
        <f t="shared" si="2"/>
        <v>0</v>
      </c>
      <c r="G39" s="72">
        <f t="shared" si="2"/>
        <v>0</v>
      </c>
      <c r="H39" s="72">
        <f t="shared" si="2"/>
        <v>0</v>
      </c>
      <c r="I39" s="73">
        <f t="shared" si="2"/>
        <v>0</v>
      </c>
      <c r="J39" s="73">
        <f t="shared" si="2"/>
        <v>0</v>
      </c>
      <c r="K39" s="73">
        <f t="shared" si="2"/>
        <v>0</v>
      </c>
      <c r="L39" s="129">
        <f t="shared" si="2"/>
        <v>0</v>
      </c>
    </row>
    <row r="40" spans="1:12" ht="18" x14ac:dyDescent="0.35">
      <c r="A40" s="81" t="s">
        <v>39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</row>
  </sheetData>
  <mergeCells count="9">
    <mergeCell ref="B34:J34"/>
    <mergeCell ref="A2:A3"/>
    <mergeCell ref="B2:J3"/>
    <mergeCell ref="L2:L3"/>
    <mergeCell ref="A23:A24"/>
    <mergeCell ref="B23:J24"/>
    <mergeCell ref="L23:L24"/>
    <mergeCell ref="B33:C33"/>
    <mergeCell ref="G33:H33"/>
  </mergeCells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S46"/>
  <sheetViews>
    <sheetView topLeftCell="A11" zoomScaleNormal="100" workbookViewId="0">
      <selection activeCell="C37" sqref="C37"/>
    </sheetView>
  </sheetViews>
  <sheetFormatPr defaultColWidth="9.109375" defaultRowHeight="14.4" x14ac:dyDescent="0.3"/>
  <cols>
    <col min="1" max="1" width="10.109375" style="3" customWidth="1"/>
    <col min="2" max="2" width="16.109375" style="3" customWidth="1"/>
    <col min="3" max="3" width="5.44140625" style="3" customWidth="1"/>
    <col min="4" max="4" width="6.6640625" style="3" customWidth="1"/>
    <col min="5" max="5" width="6.44140625" style="4" customWidth="1"/>
    <col min="6" max="6" width="6.6640625" style="3" customWidth="1"/>
    <col min="7" max="7" width="18.109375" style="4" customWidth="1"/>
    <col min="8" max="8" width="9.109375" style="3" customWidth="1"/>
    <col min="9" max="9" width="10.33203125" style="13" customWidth="1"/>
    <col min="10" max="10" width="16.33203125" style="13" customWidth="1"/>
    <col min="11" max="11" width="8" style="3" customWidth="1"/>
    <col min="12" max="12" width="5" style="3" customWidth="1"/>
    <col min="13" max="13" width="5.6640625" style="3" customWidth="1"/>
    <col min="14" max="14" width="6.88671875" style="3" customWidth="1"/>
    <col min="15" max="15" width="6" style="3" customWidth="1"/>
    <col min="16" max="16" width="7.88671875" style="3" customWidth="1"/>
    <col min="17" max="17" width="17.33203125" style="3" customWidth="1"/>
    <col min="18" max="16384" width="9.109375" style="3"/>
  </cols>
  <sheetData>
    <row r="1" spans="1:19" x14ac:dyDescent="0.3">
      <c r="A1" s="1" t="s">
        <v>0</v>
      </c>
      <c r="B1" s="2">
        <v>10</v>
      </c>
      <c r="I1" s="1" t="s">
        <v>0</v>
      </c>
      <c r="J1" s="2">
        <v>10</v>
      </c>
      <c r="M1" s="4"/>
      <c r="O1" s="4"/>
      <c r="P1" s="4"/>
      <c r="Q1" s="4"/>
    </row>
    <row r="2" spans="1:19" x14ac:dyDescent="0.3">
      <c r="A2" s="1" t="s">
        <v>1</v>
      </c>
      <c r="B2" s="2">
        <v>20</v>
      </c>
      <c r="C2" s="240">
        <v>44171</v>
      </c>
      <c r="D2" s="241"/>
      <c r="I2" s="1" t="s">
        <v>1</v>
      </c>
      <c r="J2" s="2">
        <v>20</v>
      </c>
      <c r="K2" s="240">
        <f>C2</f>
        <v>44171</v>
      </c>
      <c r="L2" s="241"/>
      <c r="M2" s="4"/>
      <c r="O2" s="4"/>
      <c r="P2" s="4"/>
      <c r="Q2" s="4"/>
    </row>
    <row r="3" spans="1:19" x14ac:dyDescent="0.3">
      <c r="E3" s="4" t="s">
        <v>2</v>
      </c>
      <c r="G3" s="4" t="s">
        <v>3</v>
      </c>
      <c r="I3" s="3"/>
      <c r="J3" s="3"/>
      <c r="K3" s="4" t="s">
        <v>3</v>
      </c>
      <c r="O3" s="4"/>
      <c r="P3" s="4"/>
      <c r="Q3" s="4"/>
    </row>
    <row r="4" spans="1:19" ht="15.6" customHeight="1" x14ac:dyDescent="0.3">
      <c r="A4" s="2" t="s">
        <v>62</v>
      </c>
      <c r="B4" s="28" t="s">
        <v>4</v>
      </c>
      <c r="C4" s="1"/>
      <c r="D4" s="1"/>
      <c r="E4" s="5"/>
      <c r="F4" s="1"/>
      <c r="G4" s="6">
        <f>C4+D4+E4+F4</f>
        <v>0</v>
      </c>
      <c r="I4" s="1"/>
      <c r="J4" s="28" t="str">
        <f>B4</f>
        <v>каравай</v>
      </c>
      <c r="K4" s="7">
        <f>G4</f>
        <v>0</v>
      </c>
      <c r="L4" s="1"/>
      <c r="M4" s="5"/>
      <c r="N4" s="1"/>
      <c r="O4" s="6"/>
      <c r="P4" s="6"/>
      <c r="Q4" s="6"/>
      <c r="S4" s="3" t="s">
        <v>5</v>
      </c>
    </row>
    <row r="5" spans="1:19" ht="15.6" customHeight="1" x14ac:dyDescent="0.3">
      <c r="A5" s="2">
        <v>14</v>
      </c>
      <c r="B5" s="28" t="s">
        <v>24</v>
      </c>
      <c r="C5" s="8">
        <v>1550</v>
      </c>
      <c r="D5" s="1">
        <f>Агафонов!B24+Агафонов!B25+Широков!B24+Широков!B25+Емельянов!B17+Емельянов!B18+'Емельянов В'!B19+'Емельянов В'!B20+Икрамов!B16+Икрамов!B17+Надежда!B30+Надежда!B31+запасн.!B20+запасн.!B22+БАНК!B16+БАНК!B17</f>
        <v>0</v>
      </c>
      <c r="E5" s="9">
        <f>стройки!C17</f>
        <v>0</v>
      </c>
      <c r="F5" s="10"/>
      <c r="G5" s="6">
        <f>C5+D5+E5+F5</f>
        <v>1550</v>
      </c>
      <c r="I5" s="1"/>
      <c r="J5" s="28" t="str">
        <f t="shared" ref="J5:J40" si="0">B5</f>
        <v>прост. Бат. 0,25</v>
      </c>
      <c r="K5" s="7">
        <f t="shared" ref="K5:K42" si="1">G5</f>
        <v>1550</v>
      </c>
      <c r="L5" s="11" t="s">
        <v>7</v>
      </c>
      <c r="M5" s="9">
        <f>E5</f>
        <v>0</v>
      </c>
      <c r="N5" s="12" t="s">
        <v>2</v>
      </c>
      <c r="O5" s="6">
        <f>G5-E5</f>
        <v>1550</v>
      </c>
      <c r="P5" s="152" t="s">
        <v>8</v>
      </c>
      <c r="Q5" s="6"/>
      <c r="S5" s="13"/>
    </row>
    <row r="6" spans="1:19" ht="15.6" customHeight="1" x14ac:dyDescent="0.3">
      <c r="A6" s="2">
        <v>23</v>
      </c>
      <c r="B6" s="28" t="s">
        <v>25</v>
      </c>
      <c r="C6" s="14">
        <v>1530</v>
      </c>
      <c r="D6" s="14">
        <f>Агафонов!C24+Агафонов!C25+Широков!C24+Широков!C25+Емельянов!C17+Емельянов!C18+'Емельянов В'!C19+'Емельянов В'!C20+Икрамов!C16+Икрамов!C17+Надежда!C30+Надежда!C31+запасн.!C20+запасн.!C22+БАНК!C16+БАНК!C17</f>
        <v>0</v>
      </c>
      <c r="E6" s="5"/>
      <c r="F6" s="15"/>
      <c r="G6" s="6">
        <f>C6+D6+E6+F6+B1+C44</f>
        <v>1540</v>
      </c>
      <c r="H6" s="13"/>
      <c r="I6" s="1">
        <f>C6</f>
        <v>1530</v>
      </c>
      <c r="J6" s="28" t="str">
        <f t="shared" si="0"/>
        <v>сеяный хлеб</v>
      </c>
      <c r="K6" s="7">
        <f>G6</f>
        <v>1540</v>
      </c>
      <c r="L6" s="11"/>
      <c r="M6" s="9"/>
      <c r="N6" s="12"/>
      <c r="O6" s="16"/>
      <c r="P6" s="17"/>
      <c r="Q6" s="18"/>
      <c r="S6" s="13"/>
    </row>
    <row r="7" spans="1:19" ht="15.6" customHeight="1" x14ac:dyDescent="0.3">
      <c r="A7" s="2">
        <v>23</v>
      </c>
      <c r="B7" s="28" t="s">
        <v>26</v>
      </c>
      <c r="C7" s="14">
        <v>623</v>
      </c>
      <c r="D7" s="14">
        <f>Агафонов!D24+Агафонов!D25+Широков!D24+Широков!D25+Емельянов!D17+Емельянов!D18+'Емельянов В'!D19+'Емельянов В'!D20+Икрамов!D16+Икрамов!D17+Надежда!D30+Надежда!D31+запасн.!D20+запасн.!D22+БАНК!D16+БАНК!D17</f>
        <v>0</v>
      </c>
      <c r="E7" s="5"/>
      <c r="F7" s="1"/>
      <c r="G7" s="6">
        <f>C7+D7+E7+F7+B2+C45</f>
        <v>643</v>
      </c>
      <c r="H7" s="13"/>
      <c r="I7" s="1">
        <f>C7</f>
        <v>623</v>
      </c>
      <c r="J7" s="28" t="str">
        <f t="shared" si="0"/>
        <v>раменский батон</v>
      </c>
      <c r="K7" s="7">
        <f t="shared" si="1"/>
        <v>643</v>
      </c>
      <c r="L7" s="11"/>
      <c r="M7" s="9"/>
      <c r="N7" s="12"/>
      <c r="O7" s="6"/>
      <c r="P7" s="6"/>
      <c r="Q7" s="6"/>
      <c r="S7" s="13"/>
    </row>
    <row r="8" spans="1:19" ht="15.6" customHeight="1" x14ac:dyDescent="0.3">
      <c r="A8" s="2">
        <v>23</v>
      </c>
      <c r="B8" s="28" t="s">
        <v>9</v>
      </c>
      <c r="C8" s="212">
        <v>32</v>
      </c>
      <c r="D8" s="14">
        <f>Агафонов!E24+Агафонов!E25+Широков!E24+Широков!E25+Емельянов!E17+Емельянов!E18+'Емельянов В'!E19+'Емельянов В'!E20+Икрамов!E16+Икрамов!E17+Надежда!E30+Надежда!E31+запасн.!E20+запасн.!E22+БАНК!E16+БАНК!E17</f>
        <v>0</v>
      </c>
      <c r="E8" s="5"/>
      <c r="F8" s="1"/>
      <c r="G8" s="6">
        <f>C8+D8+E8+F8</f>
        <v>32</v>
      </c>
      <c r="H8" s="13"/>
      <c r="I8" s="19"/>
      <c r="J8" s="28" t="str">
        <f t="shared" si="0"/>
        <v>калач сарат.</v>
      </c>
      <c r="K8" s="7">
        <f t="shared" si="1"/>
        <v>32</v>
      </c>
      <c r="L8" s="11"/>
      <c r="M8" s="9"/>
      <c r="N8" s="12"/>
      <c r="O8" s="6"/>
      <c r="P8" s="6"/>
      <c r="Q8" s="6"/>
      <c r="S8" s="13"/>
    </row>
    <row r="9" spans="1:19" ht="15.6" customHeight="1" x14ac:dyDescent="0.3">
      <c r="A9" s="2">
        <v>24</v>
      </c>
      <c r="B9" s="28" t="s">
        <v>10</v>
      </c>
      <c r="C9" s="20">
        <v>24</v>
      </c>
      <c r="D9" s="14">
        <f>Агафонов!F24+Агафонов!F25+Широков!F24+Широков!F25+Емельянов!F17+Емельянов!F18+'Емельянов В'!F19+'Емельянов В'!F20+Икрамов!F16+Икрамов!F17+Надежда!F30+Надежда!F31+запасн.!F20+запасн.!F22+БАНК!F16+БАНК!F17</f>
        <v>0</v>
      </c>
      <c r="E9" s="5"/>
      <c r="F9" s="1"/>
      <c r="G9" s="6">
        <f>C9+D9+E9+F9</f>
        <v>24</v>
      </c>
      <c r="H9" s="13"/>
      <c r="I9" s="19"/>
      <c r="J9" s="28" t="str">
        <f t="shared" si="0"/>
        <v>ромашка</v>
      </c>
      <c r="K9" s="7">
        <f t="shared" si="1"/>
        <v>24</v>
      </c>
      <c r="L9" s="1"/>
      <c r="M9" s="9"/>
      <c r="N9" s="1"/>
      <c r="O9" s="6"/>
      <c r="P9" s="6"/>
      <c r="Q9" s="18"/>
      <c r="S9" s="13"/>
    </row>
    <row r="10" spans="1:19" ht="15.6" customHeight="1" x14ac:dyDescent="0.3">
      <c r="A10" s="2">
        <v>12</v>
      </c>
      <c r="B10" s="28" t="s">
        <v>11</v>
      </c>
      <c r="C10" s="14">
        <v>48</v>
      </c>
      <c r="D10" s="14">
        <f>Агафонов!G24+Агафонов!G25+Широков!G24+Широков!G25+Емельянов!G17+Емельянов!G18+'Емельянов В'!G19+'Емельянов В'!G20+Икрамов!G16+Икрамов!G17+Надежда!G30+Надежда!G31+запасн.!G20+запасн.!G22+БАНК!G16+БАНК!G17</f>
        <v>0</v>
      </c>
      <c r="E10" s="5"/>
      <c r="F10" s="1"/>
      <c r="G10" s="6">
        <f t="shared" ref="G10:G30" si="2">C10+D10+E10+F10</f>
        <v>48</v>
      </c>
      <c r="H10" s="13"/>
      <c r="I10" s="1"/>
      <c r="J10" s="28" t="str">
        <f t="shared" si="0"/>
        <v>городская булка</v>
      </c>
      <c r="K10" s="7">
        <f t="shared" si="1"/>
        <v>48</v>
      </c>
      <c r="L10" s="1"/>
      <c r="M10" s="9"/>
      <c r="N10" s="1"/>
      <c r="O10" s="6"/>
      <c r="P10" s="6"/>
      <c r="Q10" s="6"/>
      <c r="S10" s="13"/>
    </row>
    <row r="11" spans="1:19" ht="15.6" customHeight="1" x14ac:dyDescent="0.3">
      <c r="A11" s="2">
        <v>14</v>
      </c>
      <c r="B11" s="28" t="s">
        <v>27</v>
      </c>
      <c r="C11" s="14">
        <v>82</v>
      </c>
      <c r="D11" s="14">
        <f>Агафонов!H24+Агафонов!H25+Широков!H24+Широков!H25+Емельянов!H17+Емельянов!H18+'Емельянов В'!H19+'Емельянов В'!H20+Икрамов!H16+Икрамов!H17+Надежда!H30+Надежда!H31+запасн.!H20+запасн.!H22+БАНК!H16+БАНК!H17</f>
        <v>0</v>
      </c>
      <c r="E11" s="5"/>
      <c r="F11" s="1"/>
      <c r="G11" s="6">
        <f t="shared" si="2"/>
        <v>82</v>
      </c>
      <c r="H11" s="13"/>
      <c r="I11" s="1"/>
      <c r="J11" s="28" t="str">
        <f t="shared" si="0"/>
        <v>слойка</v>
      </c>
      <c r="K11" s="7">
        <f t="shared" si="1"/>
        <v>82</v>
      </c>
      <c r="L11" s="1"/>
      <c r="M11" s="9"/>
      <c r="N11" s="1"/>
      <c r="O11" s="18"/>
      <c r="P11" s="6"/>
      <c r="Q11" s="6"/>
      <c r="S11" s="13"/>
    </row>
    <row r="12" spans="1:19" ht="15.6" customHeight="1" x14ac:dyDescent="0.3">
      <c r="A12" s="2">
        <v>22</v>
      </c>
      <c r="B12" s="28" t="s">
        <v>28</v>
      </c>
      <c r="C12" s="14">
        <v>48</v>
      </c>
      <c r="D12" s="14">
        <f>Агафонов!I24+Агафонов!I25+Широков!I24+Широков!I25+Емельянов!I17+Емельянов!I18+'Емельянов В'!I19+'Емельянов В'!I20+Икрамов!I16+Икрамов!I17+Надежда!I30+Надежда!I31+запасн.!I20+запасн.!I22+БАНК!I16+БАНК!I17</f>
        <v>0</v>
      </c>
      <c r="E12" s="5"/>
      <c r="F12" s="1"/>
      <c r="G12" s="6">
        <f t="shared" si="2"/>
        <v>48</v>
      </c>
      <c r="H12" s="13"/>
      <c r="I12" s="1"/>
      <c r="J12" s="28" t="str">
        <f t="shared" si="0"/>
        <v>сосиска в тесте</v>
      </c>
      <c r="K12" s="7">
        <f t="shared" si="1"/>
        <v>48</v>
      </c>
      <c r="L12" s="1"/>
      <c r="M12" s="9"/>
      <c r="N12" s="1"/>
      <c r="O12" s="6"/>
      <c r="P12" s="6"/>
      <c r="Q12" s="6"/>
      <c r="S12" s="13"/>
    </row>
    <row r="13" spans="1:19" ht="15.6" customHeight="1" x14ac:dyDescent="0.3">
      <c r="A13" s="2">
        <v>21</v>
      </c>
      <c r="B13" s="28" t="s">
        <v>12</v>
      </c>
      <c r="C13" s="14">
        <v>37</v>
      </c>
      <c r="D13" s="14">
        <f>Агафонов!J24+Агафонов!J25+Широков!J24+Широков!J25+Емельянов!J17+Емельянов!J18+'Емельянов В'!J19+'Емельянов В'!J20+Икрамов!J16+Икрамов!J17+Надежда!J30+Надежда!J31+запасн.!J20+запасн.!J22+БАНК!J16+БАНК!J17</f>
        <v>0</v>
      </c>
      <c r="E13" s="5"/>
      <c r="F13" s="1"/>
      <c r="G13" s="21">
        <f t="shared" si="2"/>
        <v>37</v>
      </c>
      <c r="H13" s="13"/>
      <c r="I13" s="1"/>
      <c r="J13" s="28" t="str">
        <f t="shared" si="0"/>
        <v>ватрушка</v>
      </c>
      <c r="K13" s="7">
        <f t="shared" si="1"/>
        <v>37</v>
      </c>
      <c r="L13" s="11"/>
      <c r="M13" s="9"/>
      <c r="N13" s="12"/>
      <c r="O13" s="16"/>
      <c r="P13" s="17"/>
      <c r="Q13" s="22"/>
      <c r="S13" s="13"/>
    </row>
    <row r="14" spans="1:19" ht="15.6" customHeight="1" x14ac:dyDescent="0.3">
      <c r="A14" s="2">
        <v>50</v>
      </c>
      <c r="B14" s="28" t="s">
        <v>13</v>
      </c>
      <c r="C14" s="14">
        <v>4</v>
      </c>
      <c r="D14" s="14">
        <f>Агафонов!K24+Агафонов!K25+Широков!K24+Широков!K25+Емельянов!K17+Емельянов!K18+'Емельянов В'!K19+'Емельянов В'!K20+Икрамов!K16+Икрамов!K17+Надежда!K30+Надежда!K31+запасн.!K20+запасн.!K22+БАНК!K16+БАНК!K17</f>
        <v>0</v>
      </c>
      <c r="E14" s="5"/>
      <c r="F14" s="1"/>
      <c r="G14" s="21">
        <f>C14+D14+E14+F14</f>
        <v>4</v>
      </c>
      <c r="H14" s="13"/>
      <c r="I14" s="1"/>
      <c r="J14" s="28" t="str">
        <f t="shared" si="0"/>
        <v>тесто</v>
      </c>
      <c r="K14" s="7">
        <f t="shared" si="1"/>
        <v>4</v>
      </c>
      <c r="L14" s="1"/>
      <c r="M14" s="9"/>
      <c r="N14" s="1"/>
      <c r="O14" s="6"/>
      <c r="P14" s="6"/>
      <c r="Q14" s="6"/>
      <c r="S14" s="13"/>
    </row>
    <row r="15" spans="1:19" ht="15.6" customHeight="1" x14ac:dyDescent="0.3">
      <c r="A15" s="2">
        <v>23</v>
      </c>
      <c r="B15" s="28" t="s">
        <v>14</v>
      </c>
      <c r="C15" s="14">
        <v>36</v>
      </c>
      <c r="D15" s="14">
        <f>Агафонов!L24+Агафонов!L25+Широков!L24+Широков!L25+Емельянов!L17+Емельянов!L18+'Емельянов В'!L19+'Емельянов В'!L20+Икрамов!L16+Икрамов!L17+Надежда!L30+Надежда!L31+запасн.!L20+запасн.!L22+БАНК!L16+БАНК!L17</f>
        <v>0</v>
      </c>
      <c r="E15" s="5"/>
      <c r="F15" s="1"/>
      <c r="G15" s="21">
        <f t="shared" si="2"/>
        <v>36</v>
      </c>
      <c r="H15" s="13"/>
      <c r="I15" s="1"/>
      <c r="J15" s="28" t="str">
        <f t="shared" si="0"/>
        <v>фран. Батон</v>
      </c>
      <c r="K15" s="29">
        <f t="shared" si="1"/>
        <v>36</v>
      </c>
      <c r="L15" s="1"/>
      <c r="M15" s="9"/>
      <c r="N15" s="1"/>
      <c r="O15" s="6"/>
      <c r="P15" s="6"/>
      <c r="Q15" s="6"/>
      <c r="S15" s="13"/>
    </row>
    <row r="16" spans="1:19" ht="15.6" customHeight="1" x14ac:dyDescent="0.3">
      <c r="A16" s="2">
        <v>15</v>
      </c>
      <c r="B16" s="28" t="s">
        <v>29</v>
      </c>
      <c r="C16" s="14">
        <v>162</v>
      </c>
      <c r="D16" s="14">
        <f>Агафонов!M24+Агафонов!M25+Широков!M24+Широков!M25+Емельянов!M17+Емельянов!M18+'Емельянов В'!M19+'Емельянов В'!M20+Икрамов!M16+Икрамов!M17+Надежда!M30+Надежда!M31+запасн.!M20+запасн.!M22+БАНК!M16+БАНК!M17</f>
        <v>0</v>
      </c>
      <c r="E16" s="5"/>
      <c r="F16" s="1"/>
      <c r="G16" s="6">
        <f t="shared" si="2"/>
        <v>162</v>
      </c>
      <c r="H16" s="13"/>
      <c r="I16" s="1"/>
      <c r="J16" s="28" t="str">
        <f t="shared" si="0"/>
        <v>лаваш</v>
      </c>
      <c r="K16" s="7">
        <f t="shared" si="1"/>
        <v>162</v>
      </c>
      <c r="L16" s="1"/>
      <c r="M16" s="9"/>
      <c r="N16" s="1"/>
      <c r="O16" s="6"/>
      <c r="P16" s="6"/>
      <c r="Q16" s="6"/>
      <c r="S16" s="13"/>
    </row>
    <row r="17" spans="1:19" ht="15.6" customHeight="1" x14ac:dyDescent="0.3">
      <c r="A17" s="2">
        <v>23</v>
      </c>
      <c r="B17" s="28" t="s">
        <v>15</v>
      </c>
      <c r="C17" s="14">
        <v>216</v>
      </c>
      <c r="D17" s="14">
        <f>Агафонов!N24+Агафонов!N25+Широков!N24+Широков!N25+Емельянов!N17+Емельянов!N18+'Емельянов В'!N19+'Емельянов В'!N20+Икрамов!N16+Икрамов!N17+Надежда!N30+Надежда!N31+запасн.!N20+запасн.!N22+БАНК!N16+БАНК!N17</f>
        <v>0</v>
      </c>
      <c r="E17" s="5"/>
      <c r="F17" s="1"/>
      <c r="G17" s="6">
        <f t="shared" si="2"/>
        <v>216</v>
      </c>
      <c r="H17" s="13"/>
      <c r="I17" s="1"/>
      <c r="J17" s="28" t="str">
        <f t="shared" si="0"/>
        <v>пшеничный хлеб</v>
      </c>
      <c r="K17" s="7">
        <f t="shared" si="1"/>
        <v>216</v>
      </c>
      <c r="L17" s="1" t="s">
        <v>7</v>
      </c>
      <c r="M17" s="9"/>
      <c r="N17" s="1" t="s">
        <v>164</v>
      </c>
      <c r="O17" s="6"/>
      <c r="P17" s="6"/>
      <c r="Q17" s="6"/>
      <c r="S17" s="13"/>
    </row>
    <row r="18" spans="1:19" ht="15.6" customHeight="1" x14ac:dyDescent="0.3">
      <c r="A18" s="2">
        <v>24</v>
      </c>
      <c r="B18" s="28" t="s">
        <v>30</v>
      </c>
      <c r="C18" s="14">
        <v>642</v>
      </c>
      <c r="D18" s="14">
        <f>Агафонов!O24+Агафонов!O25+Широков!O24+Широков!O25+Емельянов!O17+Емельянов!O18+'Емельянов В'!O19+'Емельянов В'!O20+Икрамов!O16+Икрамов!O17+Надежда!O30+Надежда!O31+запасн.!O20+запасн.!O22+БАНК!O16+БАНК!O17</f>
        <v>0</v>
      </c>
      <c r="E18" s="5"/>
      <c r="F18" s="1"/>
      <c r="G18" s="6">
        <f t="shared" si="2"/>
        <v>642</v>
      </c>
      <c r="H18" s="13"/>
      <c r="I18" s="1"/>
      <c r="J18" s="28" t="str">
        <f t="shared" si="0"/>
        <v xml:space="preserve">деревенский </v>
      </c>
      <c r="K18" s="7">
        <f t="shared" si="1"/>
        <v>642</v>
      </c>
      <c r="L18" s="1"/>
      <c r="M18" s="9"/>
      <c r="N18" s="1"/>
      <c r="O18" s="6"/>
      <c r="P18" s="6"/>
      <c r="Q18" s="6"/>
      <c r="S18" s="13"/>
    </row>
    <row r="19" spans="1:19" ht="15.6" customHeight="1" x14ac:dyDescent="0.3">
      <c r="A19" s="2">
        <v>25</v>
      </c>
      <c r="B19" s="28" t="s">
        <v>31</v>
      </c>
      <c r="C19" s="14">
        <v>864</v>
      </c>
      <c r="D19" s="14">
        <f>Агафонов!P24+Агафонов!P25+Широков!P24+Широков!P25+Емельянов!P17+Емельянов!P18+'Емельянов В'!P19+'Емельянов В'!P20+Икрамов!P16+Икрамов!P17+Надежда!P30+Надежда!P31+запасн.!P20+запасн.!P22+БАНК!P16+БАНК!P17</f>
        <v>0</v>
      </c>
      <c r="E19" s="5"/>
      <c r="F19" s="14"/>
      <c r="G19" s="6">
        <f t="shared" si="2"/>
        <v>864</v>
      </c>
      <c r="H19" s="13"/>
      <c r="I19" s="1"/>
      <c r="J19" s="28" t="str">
        <f t="shared" si="0"/>
        <v xml:space="preserve">домашний </v>
      </c>
      <c r="K19" s="7">
        <f t="shared" si="1"/>
        <v>864</v>
      </c>
      <c r="L19" s="11"/>
      <c r="M19" s="9"/>
      <c r="N19" s="12"/>
      <c r="O19" s="16"/>
      <c r="P19" s="17"/>
      <c r="Q19" s="18"/>
      <c r="S19" s="13"/>
    </row>
    <row r="20" spans="1:19" ht="15.6" customHeight="1" x14ac:dyDescent="0.3">
      <c r="A20" s="2">
        <v>13</v>
      </c>
      <c r="B20" s="28" t="s">
        <v>17</v>
      </c>
      <c r="C20" s="14">
        <v>32</v>
      </c>
      <c r="D20" s="14">
        <f>Агафонов!Q24+Агафонов!Q25+Широков!Q24+Широков!Q25+Емельянов!Q17+Емельянов!Q18+'Емельянов В'!Q19+'Емельянов В'!Q20+Икрамов!Q16+Икрамов!Q17+Надежда!Q30+Надежда!Q31+запасн.!Q20+запасн.!Q22+БАНК!Q16+БАНК!Q17</f>
        <v>0</v>
      </c>
      <c r="E20" s="5"/>
      <c r="F20" s="1"/>
      <c r="G20" s="6">
        <f t="shared" si="2"/>
        <v>32</v>
      </c>
      <c r="H20" s="13"/>
      <c r="I20" s="1"/>
      <c r="J20" s="28" t="str">
        <f t="shared" si="0"/>
        <v>докторская булка</v>
      </c>
      <c r="K20" s="7">
        <f t="shared" si="1"/>
        <v>32</v>
      </c>
      <c r="L20" s="1"/>
      <c r="M20" s="9"/>
      <c r="N20" s="1"/>
      <c r="O20" s="6"/>
      <c r="P20" s="6"/>
      <c r="Q20" s="6"/>
      <c r="S20" s="13"/>
    </row>
    <row r="21" spans="1:19" ht="15.6" customHeight="1" x14ac:dyDescent="0.3">
      <c r="A21" s="2">
        <v>150</v>
      </c>
      <c r="B21" s="28" t="s">
        <v>18</v>
      </c>
      <c r="C21" s="14"/>
      <c r="D21" s="14">
        <f>Агафонов!R24+Широков!R24+Емельянов!R17+'Емельянов В'!R19+Икрамов!R16+Надежда!R30+запасн.!R20+БАНК!R16</f>
        <v>0</v>
      </c>
      <c r="E21" s="5"/>
      <c r="F21" s="1"/>
      <c r="G21" s="6">
        <f t="shared" si="2"/>
        <v>0</v>
      </c>
      <c r="H21" s="13"/>
      <c r="I21" s="1"/>
      <c r="J21" s="28" t="str">
        <f t="shared" si="0"/>
        <v>печенье</v>
      </c>
      <c r="K21" s="29">
        <f t="shared" si="1"/>
        <v>0</v>
      </c>
      <c r="L21" s="11"/>
      <c r="M21" s="9"/>
      <c r="N21" s="1"/>
      <c r="O21" s="6"/>
      <c r="P21" s="6"/>
      <c r="Q21" s="6"/>
      <c r="S21" s="13"/>
    </row>
    <row r="22" spans="1:19" ht="15.6" customHeight="1" x14ac:dyDescent="0.3">
      <c r="A22" s="2">
        <v>25</v>
      </c>
      <c r="B22" s="28" t="s">
        <v>32</v>
      </c>
      <c r="C22" s="14">
        <v>31</v>
      </c>
      <c r="D22" s="14">
        <f>Агафонов!S24+Агафонов!S25+Широков!S24+Широков!S25+Емельянов!S17+Емельянов!S18+'Емельянов В'!S19+'Емельянов В'!S20+Икрамов!S16+Икрамов!S17+Надежда!S30+Надежда!S31+запасн.!S20+запасн.!S22+БАНК!S16+БАНК!S17</f>
        <v>0</v>
      </c>
      <c r="E22" s="5">
        <f>стройки!H17</f>
        <v>0</v>
      </c>
      <c r="F22" s="1"/>
      <c r="G22" s="6">
        <f t="shared" si="2"/>
        <v>31</v>
      </c>
      <c r="H22" s="13"/>
      <c r="I22" s="1"/>
      <c r="J22" s="28" t="str">
        <f t="shared" si="0"/>
        <v>нарез. Сеяный</v>
      </c>
      <c r="K22" s="7">
        <f t="shared" si="1"/>
        <v>31</v>
      </c>
      <c r="L22" s="1"/>
      <c r="M22" s="9"/>
      <c r="N22" s="1"/>
      <c r="O22" s="6"/>
      <c r="P22" s="6"/>
      <c r="Q22" s="6"/>
      <c r="S22" s="13"/>
    </row>
    <row r="23" spans="1:19" ht="15.6" customHeight="1" x14ac:dyDescent="0.3">
      <c r="A23" s="2">
        <v>25</v>
      </c>
      <c r="B23" s="28" t="s">
        <v>33</v>
      </c>
      <c r="C23" s="14">
        <v>76</v>
      </c>
      <c r="D23" s="14">
        <f>Агафонов!T24+Агафонов!T25+Широков!T24+Широков!T25+Емельянов!T17+Емельянов!T18+'Емельянов В'!T19+'Емельянов В'!T20+Икрамов!T16+Икрамов!T17+Надежда!T30+Надежда!T31+запасн.!T20+запасн.!T22+БАНК!T16+БАНК!T17</f>
        <v>0</v>
      </c>
      <c r="E23" s="5"/>
      <c r="F23" s="1"/>
      <c r="G23" s="6">
        <f t="shared" si="2"/>
        <v>76</v>
      </c>
      <c r="H23" s="13"/>
      <c r="I23" s="1"/>
      <c r="J23" s="28" t="str">
        <f t="shared" si="0"/>
        <v>нарез. Раменский</v>
      </c>
      <c r="K23" s="7">
        <f t="shared" si="1"/>
        <v>76</v>
      </c>
      <c r="L23" s="1"/>
      <c r="M23" s="9"/>
      <c r="N23" s="1"/>
      <c r="O23" s="6"/>
      <c r="P23" s="6"/>
      <c r="Q23" s="6"/>
      <c r="S23" s="13"/>
    </row>
    <row r="24" spans="1:19" ht="15.6" customHeight="1" x14ac:dyDescent="0.3">
      <c r="A24" s="2">
        <v>23</v>
      </c>
      <c r="B24" s="28" t="s">
        <v>34</v>
      </c>
      <c r="C24" s="14">
        <v>152</v>
      </c>
      <c r="D24" s="14">
        <f>Агафонов!U24+Агафонов!U25+Широков!U24+Широков!U25+Емельянов!U17+Емельянов!U18+'Емельянов В'!U19+'Емельянов В'!U20+Икрамов!U16+Икрамов!U17+Надежда!U30+Надежда!U31+запасн.!U20+запасн.!U22+БАНК!U16+БАНК!U17</f>
        <v>0</v>
      </c>
      <c r="E24" s="5"/>
      <c r="F24" s="1"/>
      <c r="G24" s="6">
        <f t="shared" si="2"/>
        <v>152</v>
      </c>
      <c r="H24" s="13"/>
      <c r="I24" s="1"/>
      <c r="J24" s="28" t="str">
        <f t="shared" si="0"/>
        <v>сеяный 0,5</v>
      </c>
      <c r="K24" s="7">
        <f t="shared" si="1"/>
        <v>152</v>
      </c>
      <c r="L24" s="1"/>
      <c r="M24" s="9"/>
      <c r="N24" s="1"/>
      <c r="O24" s="6"/>
      <c r="P24" s="6"/>
      <c r="Q24" s="6"/>
      <c r="S24" s="13"/>
    </row>
    <row r="25" spans="1:19" ht="15.6" customHeight="1" x14ac:dyDescent="0.3">
      <c r="A25" s="2">
        <v>15</v>
      </c>
      <c r="B25" s="28" t="s">
        <v>35</v>
      </c>
      <c r="C25" s="14">
        <v>87</v>
      </c>
      <c r="D25" s="14">
        <f>Агафонов!V24+Агафонов!V25+Широков!V24+Широков!V25+Емельянов!V17+Емельянов!V18+'Емельянов В'!V19+'Емельянов В'!V20+Икрамов!V16+Икрамов!V17+Надежда!V30+Надежда!V31+запасн.!V20+запасн.!V22+БАНК!V16+БАНК!V17</f>
        <v>0</v>
      </c>
      <c r="E25" s="5"/>
      <c r="F25" s="1"/>
      <c r="G25" s="6">
        <f t="shared" si="2"/>
        <v>87</v>
      </c>
      <c r="H25" s="13"/>
      <c r="I25" s="1"/>
      <c r="J25" s="28" t="str">
        <f t="shared" si="0"/>
        <v>сеяный 0,3</v>
      </c>
      <c r="K25" s="7">
        <f t="shared" si="1"/>
        <v>87</v>
      </c>
      <c r="L25" s="1"/>
      <c r="M25" s="9"/>
      <c r="N25" s="1"/>
      <c r="O25" s="6"/>
      <c r="P25" s="6"/>
      <c r="Q25" s="6"/>
      <c r="S25" s="13"/>
    </row>
    <row r="26" spans="1:19" ht="15.6" customHeight="1" x14ac:dyDescent="0.3">
      <c r="A26" s="2">
        <v>12</v>
      </c>
      <c r="B26" s="28" t="s">
        <v>36</v>
      </c>
      <c r="C26" s="14">
        <v>31</v>
      </c>
      <c r="D26" s="14">
        <f>Агафонов!W24+Агафонов!W25+Широков!W24+Широков!W25+Емельянов!W17+Емельянов!W18+'Емельянов В'!W19+'Емельянов В'!W20+Икрамов!W16+Икрамов!W17+Надежда!W30+Надежда!W31+запасн.!W20+запасн.!W22+БАНК!W16+БАНК!W17</f>
        <v>0</v>
      </c>
      <c r="E26" s="5"/>
      <c r="F26" s="1"/>
      <c r="G26" s="6">
        <f t="shared" si="2"/>
        <v>31</v>
      </c>
      <c r="H26" s="13"/>
      <c r="I26" s="1"/>
      <c r="J26" s="28" t="str">
        <f t="shared" si="0"/>
        <v>сеяный 0,2</v>
      </c>
      <c r="K26" s="7">
        <f t="shared" si="1"/>
        <v>31</v>
      </c>
      <c r="L26" s="11"/>
      <c r="M26" s="9"/>
      <c r="N26" s="11"/>
      <c r="O26" s="6"/>
      <c r="P26" s="17"/>
      <c r="Q26" s="6"/>
      <c r="S26" s="13"/>
    </row>
    <row r="27" spans="1:19" ht="15.6" customHeight="1" x14ac:dyDescent="0.3">
      <c r="A27" s="2">
        <v>13</v>
      </c>
      <c r="B27" s="28" t="s">
        <v>16</v>
      </c>
      <c r="C27" s="14">
        <v>69</v>
      </c>
      <c r="D27" s="14">
        <f>Агафонов!X24+Агафонов!X25+Широков!X24+Широков!X25+Емельянов!X17+Емельянов!X18+'Емельянов В'!X19+'Емельянов В'!X20+Икрамов!X16+Икрамов!X17+Надежда!X30+Надежда!X31+запасн.!X20+запасн.!X22+БАНК!X16+БАНК!X17</f>
        <v>0</v>
      </c>
      <c r="E27" s="5"/>
      <c r="F27" s="1"/>
      <c r="G27" s="6">
        <f t="shared" si="2"/>
        <v>69</v>
      </c>
      <c r="H27" s="13"/>
      <c r="I27" s="1"/>
      <c r="J27" s="28" t="str">
        <f t="shared" si="0"/>
        <v>деревенский 0,25</v>
      </c>
      <c r="K27" s="7">
        <f t="shared" si="1"/>
        <v>69</v>
      </c>
      <c r="L27" s="1"/>
      <c r="M27" s="9"/>
      <c r="N27" s="1"/>
      <c r="O27" s="6"/>
      <c r="P27" s="6"/>
      <c r="Q27" s="6"/>
      <c r="S27" s="13"/>
    </row>
    <row r="28" spans="1:19" ht="15.6" customHeight="1" x14ac:dyDescent="0.3">
      <c r="A28" s="2">
        <v>20</v>
      </c>
      <c r="B28" s="28" t="s">
        <v>19</v>
      </c>
      <c r="C28" s="14">
        <v>45</v>
      </c>
      <c r="D28" s="14">
        <f>Агафонов!Y24+Агафонов!Y25+Широков!Y24+Широков!Y25+Емельянов!Y17+Емельянов!Y18+'Емельянов В'!Y19+'Емельянов В'!Y20+Икрамов!Y16+Икрамов!Y17+Надежда!Y30+Надежда!Y31+запасн.!Y20+запасн.!Y22+БАНК!Y16+БАНК!Y17</f>
        <v>0</v>
      </c>
      <c r="E28" s="5"/>
      <c r="F28" s="1"/>
      <c r="G28" s="6">
        <f t="shared" si="2"/>
        <v>45</v>
      </c>
      <c r="H28" s="13"/>
      <c r="I28" s="1"/>
      <c r="J28" s="28" t="str">
        <f t="shared" si="0"/>
        <v>хачапури</v>
      </c>
      <c r="K28" s="7">
        <f t="shared" si="1"/>
        <v>45</v>
      </c>
      <c r="L28" s="1"/>
      <c r="M28" s="9"/>
      <c r="N28" s="1"/>
      <c r="O28" s="6"/>
      <c r="P28" s="6"/>
      <c r="Q28" s="6"/>
      <c r="S28" s="13"/>
    </row>
    <row r="29" spans="1:19" ht="15.6" customHeight="1" x14ac:dyDescent="0.3">
      <c r="A29" s="2">
        <v>25</v>
      </c>
      <c r="B29" s="28" t="s">
        <v>20</v>
      </c>
      <c r="C29" s="14">
        <v>48</v>
      </c>
      <c r="D29" s="14">
        <f>Агафонов!Z24+Агафонов!Z25+Широков!Z24+Широков!Z25+Емельянов!Z17+Емельянов!Z18+'Емельянов В'!Z19+'Емельянов В'!Z20+Икрамов!Z16+Икрамов!Z17+Надежда!Z30+Надежда!Z31+запасн.!Z20+запасн.!Z22+БАНК!Z16+БАНК!Z17</f>
        <v>0</v>
      </c>
      <c r="E29" s="5"/>
      <c r="F29" s="1"/>
      <c r="G29" s="6">
        <f t="shared" si="2"/>
        <v>48</v>
      </c>
      <c r="H29" s="13"/>
      <c r="I29" s="1"/>
      <c r="J29" s="28" t="str">
        <f t="shared" si="0"/>
        <v>сосиска с сыром</v>
      </c>
      <c r="K29" s="7">
        <f t="shared" si="1"/>
        <v>48</v>
      </c>
      <c r="L29" s="1"/>
      <c r="M29" s="9"/>
      <c r="N29" s="1"/>
      <c r="O29" s="6"/>
      <c r="P29" s="6"/>
      <c r="Q29" s="6"/>
      <c r="S29" s="13"/>
    </row>
    <row r="30" spans="1:19" ht="15.6" customHeight="1" x14ac:dyDescent="0.3">
      <c r="A30" s="2">
        <v>12</v>
      </c>
      <c r="B30" s="209" t="s">
        <v>199</v>
      </c>
      <c r="C30" s="14">
        <v>67</v>
      </c>
      <c r="D30" s="14">
        <f>Агафонов!AA24+Агафонов!AA25+Широков!AA24+Широков!AA25+Емельянов!AA17+Емельянов!AA18+'Емельянов В'!AA19+'Емельянов В'!AA20+Икрамов!AA16+Икрамов!AA17+Надежда!AA30+Надежда!AA31+запасн.!AA20+запасн.!AA22+БАНК!AA16+БАНК!AA17</f>
        <v>0</v>
      </c>
      <c r="E30" s="5"/>
      <c r="F30" s="1"/>
      <c r="G30" s="6">
        <f t="shared" si="2"/>
        <v>67</v>
      </c>
      <c r="H30" s="13"/>
      <c r="I30" s="1"/>
      <c r="J30" s="28" t="str">
        <f t="shared" si="0"/>
        <v>розочка с творогом</v>
      </c>
      <c r="K30" s="7">
        <f t="shared" si="1"/>
        <v>67</v>
      </c>
      <c r="L30" s="1"/>
      <c r="M30" s="9"/>
      <c r="N30" s="1"/>
      <c r="O30" s="6"/>
      <c r="P30" s="6"/>
      <c r="Q30" s="6"/>
      <c r="S30" s="13"/>
    </row>
    <row r="31" spans="1:19" ht="15.6" customHeight="1" x14ac:dyDescent="0.3">
      <c r="A31" s="2">
        <v>16</v>
      </c>
      <c r="B31" s="67" t="s">
        <v>37</v>
      </c>
      <c r="C31" s="14">
        <v>39</v>
      </c>
      <c r="D31" s="14">
        <f>Агафонов!AB24+Агафонов!AB25+Широков!AB24+Широков!AB25+Емельянов!AB17+Емельянов!AB18+'Емельянов В'!AB19+'Емельянов В'!AB20+Икрамов!AB16+Икрамов!AB17+Надежда!AB30+Надежда!AB31+запасн.!AB20+запасн.!AB22+БАНК!AB16+БАНК!AB17</f>
        <v>0</v>
      </c>
      <c r="E31" s="19"/>
      <c r="F31" s="1"/>
      <c r="G31" s="6">
        <f>C31+D31+E31+F31</f>
        <v>39</v>
      </c>
      <c r="H31" s="13"/>
      <c r="I31" s="1"/>
      <c r="J31" s="28" t="str">
        <f t="shared" si="0"/>
        <v>пирог с капустой</v>
      </c>
      <c r="K31" s="7">
        <f t="shared" si="1"/>
        <v>39</v>
      </c>
      <c r="L31" s="1"/>
      <c r="M31" s="9"/>
      <c r="N31" s="1"/>
      <c r="O31" s="6"/>
      <c r="P31" s="6"/>
      <c r="Q31" s="18"/>
      <c r="S31" s="13"/>
    </row>
    <row r="32" spans="1:19" ht="15.6" customHeight="1" x14ac:dyDescent="0.3">
      <c r="A32" s="2">
        <v>16</v>
      </c>
      <c r="B32" s="28" t="s">
        <v>38</v>
      </c>
      <c r="C32" s="23">
        <v>34</v>
      </c>
      <c r="D32" s="14">
        <f>Агафонов!AC24+Агафонов!AC25+Широков!AC24+Широков!AC25+Емельянов!AC17+Емельянов!AC18+'Емельянов В'!AC19+'Емельянов В'!AC20+Икрамов!AC16+Икрамов!AC17+Надежда!AC30+Надежда!AC31+запасн.!AC20+запасн.!AC22+БАНК!AC16+БАНК!AC17</f>
        <v>0</v>
      </c>
      <c r="E32" s="5"/>
      <c r="F32" s="1"/>
      <c r="G32" s="6">
        <f>C32+D32+E32+F32</f>
        <v>34</v>
      </c>
      <c r="H32" s="13"/>
      <c r="I32" s="1"/>
      <c r="J32" s="28" t="str">
        <f t="shared" si="0"/>
        <v>пирог с луком</v>
      </c>
      <c r="K32" s="29">
        <f t="shared" si="1"/>
        <v>34</v>
      </c>
      <c r="L32" s="11"/>
      <c r="M32" s="9"/>
      <c r="N32" s="11"/>
      <c r="O32" s="6"/>
      <c r="P32" s="17"/>
      <c r="Q32" s="6"/>
      <c r="S32" s="13"/>
    </row>
    <row r="33" spans="1:19" ht="15.6" customHeight="1" x14ac:dyDescent="0.3">
      <c r="A33" s="2">
        <v>19</v>
      </c>
      <c r="B33" s="28" t="s">
        <v>21</v>
      </c>
      <c r="C33" s="1">
        <v>43</v>
      </c>
      <c r="D33" s="1">
        <f>Агафонов!AD24+Агафонов!AD25+Широков!AD24+Широков!AD25+Емельянов!AD17+Емельянов!AD18+'Емельянов В'!AD19+'Емельянов В'!AD20+Икрамов!AD16+Икрамов!AD17+Надежда!AD30+Надежда!AD31+запасн.!AD20+запасн.!AD22+БАНК!AD16+БАНК!AD17</f>
        <v>0</v>
      </c>
      <c r="E33" s="5"/>
      <c r="F33" s="1"/>
      <c r="G33" s="6">
        <f>C33+D33+E33+F33</f>
        <v>43</v>
      </c>
      <c r="H33" s="13"/>
      <c r="I33" s="1"/>
      <c r="J33" s="28" t="str">
        <f t="shared" si="0"/>
        <v>пирог с мясом</v>
      </c>
      <c r="K33" s="7">
        <f t="shared" si="1"/>
        <v>43</v>
      </c>
      <c r="L33" s="1"/>
      <c r="M33" s="9"/>
      <c r="N33" s="1"/>
      <c r="O33" s="6"/>
      <c r="P33" s="6"/>
      <c r="Q33" s="6"/>
      <c r="S33" s="13"/>
    </row>
    <row r="34" spans="1:19" ht="15.6" customHeight="1" x14ac:dyDescent="0.4">
      <c r="A34" s="2"/>
      <c r="B34" s="69"/>
      <c r="C34" s="24"/>
      <c r="D34" s="69">
        <f>Агафонов!AE24+Агафонов!AE25+Широков!AE24+Широков!AE25+Емельянов!AE17+Емельянов!AE18+'Емельянов В'!AE19+'Емельянов В'!AE20+Икрамов!AE16+Икрамов!AE17+Надежда!AE30+Надежда!AE31+запасн.!AE20+запасн.!AE22+БАНК!AE16+БАНК!AE17</f>
        <v>0</v>
      </c>
      <c r="E34" s="5"/>
      <c r="F34" s="1"/>
      <c r="G34" s="6">
        <f t="shared" ref="G34:G42" si="3">C34+D34+E34+F34</f>
        <v>0</v>
      </c>
      <c r="H34" s="13"/>
      <c r="I34" s="1"/>
      <c r="J34" s="28">
        <f t="shared" si="0"/>
        <v>0</v>
      </c>
      <c r="K34" s="29">
        <f t="shared" si="1"/>
        <v>0</v>
      </c>
      <c r="L34" s="11"/>
      <c r="M34" s="9"/>
      <c r="N34" s="11"/>
      <c r="O34" s="6"/>
      <c r="P34" s="17"/>
      <c r="Q34" s="25"/>
    </row>
    <row r="35" spans="1:19" ht="15.6" customHeight="1" x14ac:dyDescent="0.4">
      <c r="A35" s="2"/>
      <c r="B35" s="67"/>
      <c r="C35" s="19"/>
      <c r="D35" s="69">
        <f>Агафонов!AF24+Агафонов!AF25+Широков!AF24+Широков!AF25+Емельянов!AF17+Емельянов!AF18+'Емельянов В'!AF19+'Емельянов В'!AF20+Икрамов!AF16+Икрамов!AF17+Надежда!AF30+Надежда!AF31+запасн.!AF20+запасн.!AF22+БАНК!AF16+БАНК!AF17</f>
        <v>0</v>
      </c>
      <c r="E35" s="24"/>
      <c r="F35" s="24"/>
      <c r="G35" s="6">
        <f t="shared" si="3"/>
        <v>0</v>
      </c>
      <c r="H35" s="13"/>
      <c r="I35" s="1"/>
      <c r="J35" s="28">
        <f t="shared" si="0"/>
        <v>0</v>
      </c>
      <c r="K35" s="29">
        <f t="shared" si="1"/>
        <v>0</v>
      </c>
      <c r="L35" s="24"/>
      <c r="M35" s="24"/>
      <c r="N35" s="24"/>
      <c r="O35" s="25"/>
      <c r="P35" s="25"/>
      <c r="Q35" s="25"/>
    </row>
    <row r="36" spans="1:19" ht="15.6" customHeight="1" x14ac:dyDescent="0.4">
      <c r="A36" s="2"/>
      <c r="B36" s="67"/>
      <c r="C36" s="19"/>
      <c r="D36" s="69">
        <f>Агафонов!AG24+Агафонов!AG25+Широков!AG24+Широков!AG25+Емельянов!AG17+Емельянов!AG18+'Емельянов В'!AG19+'Емельянов В'!AG20+Икрамов!AG16+Икрамов!AG17+Надежда!AG30+Надежда!AG31+запасн.!AG20+запасн.!AG22+БАНК!AG16+БАНК!AG17</f>
        <v>0</v>
      </c>
      <c r="E36" s="24"/>
      <c r="F36" s="24"/>
      <c r="G36" s="6">
        <f t="shared" si="3"/>
        <v>0</v>
      </c>
      <c r="H36" s="13"/>
      <c r="I36" s="1"/>
      <c r="J36" s="28">
        <f t="shared" si="0"/>
        <v>0</v>
      </c>
      <c r="K36" s="29">
        <f t="shared" si="1"/>
        <v>0</v>
      </c>
      <c r="L36" s="24"/>
      <c r="M36" s="24"/>
      <c r="N36" s="24"/>
      <c r="O36" s="25"/>
      <c r="P36" s="25"/>
      <c r="Q36" s="25"/>
    </row>
    <row r="37" spans="1:19" s="13" customFormat="1" ht="15.6" customHeight="1" x14ac:dyDescent="0.4">
      <c r="A37" s="2"/>
      <c r="B37" s="28"/>
      <c r="C37" s="1"/>
      <c r="D37" s="1">
        <f>Агафонов!AH24+Агафонов!AH25+Широков!AH24+Широков!AH25+Емельянов!AH17+Емельянов!AH18+'Емельянов В'!AH19+'Емельянов В'!AH20+Икрамов!AH16+Икрамов!AH17+Надежда!AH30+Надежда!AH31+запасн.!AH20+запасн.!AH22+БАНК!AH16+БАНК!AH17</f>
        <v>0</v>
      </c>
      <c r="E37" s="5"/>
      <c r="F37" s="1"/>
      <c r="G37" s="6">
        <f t="shared" si="3"/>
        <v>0</v>
      </c>
      <c r="I37" s="1"/>
      <c r="J37" s="28">
        <f t="shared" si="0"/>
        <v>0</v>
      </c>
      <c r="K37" s="29">
        <f t="shared" si="1"/>
        <v>0</v>
      </c>
      <c r="L37" s="1"/>
      <c r="M37" s="5"/>
      <c r="N37" s="1"/>
      <c r="O37" s="25"/>
      <c r="P37" s="25"/>
      <c r="Q37" s="25"/>
    </row>
    <row r="38" spans="1:19" s="13" customFormat="1" ht="15.6" customHeight="1" x14ac:dyDescent="0.4">
      <c r="A38" s="2"/>
      <c r="B38" s="28"/>
      <c r="C38" s="1"/>
      <c r="D38" s="1"/>
      <c r="E38" s="5"/>
      <c r="F38" s="1"/>
      <c r="G38" s="6">
        <f>C38+D38+E38+F38</f>
        <v>0</v>
      </c>
      <c r="I38" s="1"/>
      <c r="J38" s="28">
        <f t="shared" si="0"/>
        <v>0</v>
      </c>
      <c r="K38" s="29">
        <f t="shared" si="1"/>
        <v>0</v>
      </c>
      <c r="L38" s="1"/>
      <c r="M38" s="5"/>
      <c r="N38" s="1"/>
      <c r="O38" s="25"/>
      <c r="P38" s="25"/>
      <c r="Q38" s="25"/>
    </row>
    <row r="39" spans="1:19" s="13" customFormat="1" ht="15.6" customHeight="1" x14ac:dyDescent="0.4">
      <c r="A39" s="2"/>
      <c r="B39" s="68"/>
      <c r="C39" s="26"/>
      <c r="D39" s="69"/>
      <c r="E39" s="5"/>
      <c r="F39" s="1"/>
      <c r="G39" s="6">
        <f t="shared" si="3"/>
        <v>0</v>
      </c>
      <c r="I39" s="1"/>
      <c r="J39" s="28">
        <f t="shared" si="0"/>
        <v>0</v>
      </c>
      <c r="K39" s="29">
        <f t="shared" si="1"/>
        <v>0</v>
      </c>
      <c r="L39" s="1"/>
      <c r="M39" s="5"/>
      <c r="N39" s="1"/>
      <c r="O39" s="25"/>
      <c r="P39" s="25"/>
      <c r="Q39" s="25"/>
    </row>
    <row r="40" spans="1:19" s="13" customFormat="1" ht="15.6" customHeight="1" x14ac:dyDescent="0.4">
      <c r="A40" s="2"/>
      <c r="B40" s="69"/>
      <c r="C40" s="26"/>
      <c r="D40" s="158"/>
      <c r="E40" s="5"/>
      <c r="F40" s="1"/>
      <c r="G40" s="6">
        <f t="shared" si="3"/>
        <v>0</v>
      </c>
      <c r="I40" s="1"/>
      <c r="J40" s="28">
        <f t="shared" si="0"/>
        <v>0</v>
      </c>
      <c r="K40" s="29">
        <f>G40</f>
        <v>0</v>
      </c>
      <c r="L40" s="1"/>
      <c r="M40" s="5"/>
      <c r="N40" s="1"/>
      <c r="O40" s="25"/>
      <c r="P40" s="25"/>
      <c r="Q40" s="25"/>
    </row>
    <row r="41" spans="1:19" s="13" customFormat="1" ht="0.75" hidden="1" customHeight="1" x14ac:dyDescent="0.4">
      <c r="A41" s="1"/>
      <c r="B41" s="26"/>
      <c r="C41" s="26"/>
      <c r="D41" s="26"/>
      <c r="E41" s="5"/>
      <c r="F41" s="1"/>
      <c r="G41" s="6">
        <f t="shared" si="3"/>
        <v>0</v>
      </c>
      <c r="I41" s="1"/>
      <c r="J41" s="19"/>
      <c r="K41" s="7">
        <f t="shared" si="1"/>
        <v>0</v>
      </c>
      <c r="L41" s="1"/>
      <c r="M41" s="5"/>
      <c r="N41" s="1"/>
      <c r="O41" s="25"/>
      <c r="P41" s="25"/>
      <c r="Q41" s="25"/>
    </row>
    <row r="42" spans="1:19" s="13" customFormat="1" ht="14.25" hidden="1" customHeight="1" x14ac:dyDescent="0.4">
      <c r="A42" s="1"/>
      <c r="B42" s="26"/>
      <c r="C42" s="26"/>
      <c r="D42" s="26"/>
      <c r="E42" s="5"/>
      <c r="F42" s="1"/>
      <c r="G42" s="6">
        <f t="shared" si="3"/>
        <v>0</v>
      </c>
      <c r="I42" s="1"/>
      <c r="J42" s="19"/>
      <c r="K42" s="7">
        <f t="shared" si="1"/>
        <v>0</v>
      </c>
      <c r="L42" s="1"/>
      <c r="M42" s="5"/>
      <c r="N42" s="1"/>
      <c r="O42" s="25"/>
      <c r="P42" s="25"/>
      <c r="Q42" s="25"/>
    </row>
    <row r="43" spans="1:19" ht="15.75" customHeight="1" x14ac:dyDescent="0.4">
      <c r="A43" s="1"/>
      <c r="B43" s="237" t="s">
        <v>22</v>
      </c>
      <c r="C43" s="238"/>
      <c r="D43" s="239"/>
      <c r="E43" s="5"/>
      <c r="F43" s="1"/>
      <c r="G43" s="25"/>
      <c r="H43" s="27"/>
      <c r="I43" s="1"/>
      <c r="J43" s="237" t="s">
        <v>22</v>
      </c>
      <c r="K43" s="238"/>
      <c r="L43" s="239"/>
      <c r="M43" s="5"/>
      <c r="N43" s="1"/>
      <c r="O43" s="25"/>
      <c r="P43" s="1"/>
      <c r="Q43" s="1"/>
    </row>
    <row r="44" spans="1:19" ht="21" x14ac:dyDescent="0.4">
      <c r="A44" s="1"/>
      <c r="B44" s="1" t="s">
        <v>0</v>
      </c>
      <c r="C44" s="19"/>
      <c r="D44" s="237" t="str">
        <f>INT(C44/14)&amp; "/14 + " &amp; C44-INT(C44/14)*14</f>
        <v>0/14 + 0</v>
      </c>
      <c r="E44" s="238"/>
      <c r="F44" s="239"/>
      <c r="G44" s="25"/>
      <c r="H44" s="27"/>
      <c r="I44" s="1"/>
      <c r="J44" s="1" t="s">
        <v>0</v>
      </c>
      <c r="K44" s="19">
        <f>C44</f>
        <v>0</v>
      </c>
      <c r="L44" s="237" t="str">
        <f>D44</f>
        <v>0/14 + 0</v>
      </c>
      <c r="M44" s="238"/>
      <c r="N44" s="239"/>
      <c r="O44" s="25"/>
      <c r="P44" s="1"/>
      <c r="Q44" s="1"/>
    </row>
    <row r="45" spans="1:19" ht="21" x14ac:dyDescent="0.4">
      <c r="A45" s="1"/>
      <c r="B45" s="1" t="s">
        <v>23</v>
      </c>
      <c r="C45" s="19"/>
      <c r="D45" s="237" t="str">
        <f>INT(C45/14)&amp; "/14 + " &amp; C45-INT(C45/14)*14</f>
        <v>0/14 + 0</v>
      </c>
      <c r="E45" s="238"/>
      <c r="F45" s="239"/>
      <c r="G45" s="25"/>
      <c r="H45" s="27"/>
      <c r="I45" s="1"/>
      <c r="J45" s="1" t="s">
        <v>23</v>
      </c>
      <c r="K45" s="19">
        <f>C45</f>
        <v>0</v>
      </c>
      <c r="L45" s="237" t="str">
        <f>D45</f>
        <v>0/14 + 0</v>
      </c>
      <c r="M45" s="238"/>
      <c r="N45" s="239"/>
      <c r="O45" s="25"/>
      <c r="P45" s="1"/>
      <c r="Q45" s="1"/>
    </row>
    <row r="46" spans="1:19" x14ac:dyDescent="0.3">
      <c r="C46" s="4"/>
    </row>
  </sheetData>
  <mergeCells count="8">
    <mergeCell ref="D45:F45"/>
    <mergeCell ref="L45:N45"/>
    <mergeCell ref="C2:D2"/>
    <mergeCell ref="K2:L2"/>
    <mergeCell ref="B43:D43"/>
    <mergeCell ref="J43:L43"/>
    <mergeCell ref="D44:F44"/>
    <mergeCell ref="L44:N44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36EBE-78F5-41B8-AB64-F4FB380B0922}">
  <sheetPr codeName="Лист13"/>
  <dimension ref="A1:F29"/>
  <sheetViews>
    <sheetView tabSelected="1" topLeftCell="A4" workbookViewId="0">
      <selection activeCell="D2" sqref="D2"/>
    </sheetView>
  </sheetViews>
  <sheetFormatPr defaultRowHeight="14.4" x14ac:dyDescent="0.3"/>
  <cols>
    <col min="1" max="1" width="14.88671875" customWidth="1"/>
    <col min="2" max="2" width="11.33203125" customWidth="1"/>
    <col min="6" max="6" width="15.21875" customWidth="1"/>
  </cols>
  <sheetData>
    <row r="1" spans="1:6" x14ac:dyDescent="0.3">
      <c r="A1" t="s">
        <v>24</v>
      </c>
      <c r="B1">
        <v>1550</v>
      </c>
      <c r="C1" t="str">
        <f ca="1">КОПИПАСТ(A1,Итого!J5)</f>
        <v/>
      </c>
      <c r="D1" t="str">
        <f ca="1">КОПИПАСТ(B1,Итого!K5)</f>
        <v/>
      </c>
      <c r="F1" s="213"/>
    </row>
    <row r="2" spans="1:6" x14ac:dyDescent="0.3">
      <c r="A2" t="s">
        <v>25</v>
      </c>
      <c r="B2">
        <v>1540</v>
      </c>
      <c r="C2" t="str">
        <f ca="1">КОПИПАСТ(A2,Итого!J6)</f>
        <v/>
      </c>
      <c r="D2" t="str">
        <f ca="1">КОПИПАСТ(B2,Итого!K6)</f>
        <v/>
      </c>
      <c r="F2" s="213"/>
    </row>
    <row r="3" spans="1:6" x14ac:dyDescent="0.3">
      <c r="A3" t="s">
        <v>26</v>
      </c>
      <c r="B3">
        <v>643</v>
      </c>
      <c r="C3" t="str">
        <f ca="1">КОПИПАСТ(A3,Итого!J7)</f>
        <v/>
      </c>
      <c r="D3" t="str">
        <f ca="1">КОПИПАСТ(B3,Итого!K7)</f>
        <v/>
      </c>
    </row>
    <row r="4" spans="1:6" x14ac:dyDescent="0.3">
      <c r="A4" t="s">
        <v>9</v>
      </c>
      <c r="B4">
        <v>32</v>
      </c>
      <c r="C4" t="str">
        <f ca="1">КОПИПАСТ(A4,Итого!J8)</f>
        <v/>
      </c>
      <c r="D4" t="str">
        <f ca="1">КОПИПАСТ(B4,Итого!K8)</f>
        <v/>
      </c>
      <c r="F4" s="213"/>
    </row>
    <row r="5" spans="1:6" x14ac:dyDescent="0.3">
      <c r="A5" t="s">
        <v>10</v>
      </c>
      <c r="B5">
        <v>24</v>
      </c>
      <c r="C5" t="str">
        <f ca="1">КОПИПАСТ(A5,Итого!J9)</f>
        <v/>
      </c>
      <c r="D5" t="str">
        <f ca="1">КОПИПАСТ(B5,Итого!K9)</f>
        <v/>
      </c>
    </row>
    <row r="6" spans="1:6" x14ac:dyDescent="0.3">
      <c r="A6" t="s">
        <v>11</v>
      </c>
      <c r="B6">
        <v>48</v>
      </c>
      <c r="C6" t="str">
        <f ca="1">КОПИПАСТ(A6,Итого!J10)</f>
        <v/>
      </c>
      <c r="D6" t="str">
        <f ca="1">КОПИПАСТ(B6,Итого!K10)</f>
        <v/>
      </c>
    </row>
    <row r="7" spans="1:6" x14ac:dyDescent="0.3">
      <c r="A7" t="s">
        <v>27</v>
      </c>
      <c r="B7">
        <v>82</v>
      </c>
      <c r="C7" t="str">
        <f ca="1">КОПИПАСТ(A7,Итого!J11)</f>
        <v/>
      </c>
      <c r="D7" t="str">
        <f ca="1">КОПИПАСТ(B7,Итого!K11)</f>
        <v/>
      </c>
    </row>
    <row r="8" spans="1:6" x14ac:dyDescent="0.3">
      <c r="A8" t="s">
        <v>28</v>
      </c>
      <c r="B8">
        <v>48</v>
      </c>
      <c r="C8" t="str">
        <f ca="1">КОПИПАСТ(A8,Итого!J12)</f>
        <v/>
      </c>
      <c r="D8" t="str">
        <f ca="1">КОПИПАСТ(B8,Итого!K12)</f>
        <v/>
      </c>
    </row>
    <row r="9" spans="1:6" x14ac:dyDescent="0.3">
      <c r="A9" t="s">
        <v>12</v>
      </c>
      <c r="B9">
        <v>37</v>
      </c>
      <c r="C9" t="str">
        <f ca="1">КОПИПАСТ(A9,Итого!J13)</f>
        <v/>
      </c>
      <c r="D9" t="str">
        <f ca="1">КОПИПАСТ(B9,Итого!K13)</f>
        <v/>
      </c>
    </row>
    <row r="10" spans="1:6" x14ac:dyDescent="0.3">
      <c r="A10" t="s">
        <v>13</v>
      </c>
      <c r="B10">
        <v>4</v>
      </c>
      <c r="C10" t="str">
        <f ca="1">КОПИПАСТ(A10,Итого!J14)</f>
        <v/>
      </c>
      <c r="D10" t="str">
        <f ca="1">КОПИПАСТ(B10,Итого!K14)</f>
        <v/>
      </c>
    </row>
    <row r="11" spans="1:6" x14ac:dyDescent="0.3">
      <c r="A11" t="s">
        <v>14</v>
      </c>
      <c r="B11">
        <v>36</v>
      </c>
      <c r="C11" t="str">
        <f ca="1">КОПИПАСТ(A11,Итого!J15)</f>
        <v/>
      </c>
      <c r="D11" t="str">
        <f ca="1">КОПИПАСТ(B11,Итого!K15)</f>
        <v/>
      </c>
    </row>
    <row r="12" spans="1:6" x14ac:dyDescent="0.3">
      <c r="A12" t="s">
        <v>29</v>
      </c>
      <c r="B12">
        <v>162</v>
      </c>
      <c r="C12" t="str">
        <f ca="1">КОПИПАСТ(A12,Итого!J16)</f>
        <v/>
      </c>
      <c r="D12" t="str">
        <f ca="1">КОПИПАСТ(B12,Итого!K16)</f>
        <v/>
      </c>
    </row>
    <row r="13" spans="1:6" x14ac:dyDescent="0.3">
      <c r="A13" t="s">
        <v>15</v>
      </c>
      <c r="B13">
        <v>216</v>
      </c>
      <c r="C13" t="str">
        <f ca="1">КОПИПАСТ(A13,Итого!J17)</f>
        <v/>
      </c>
      <c r="D13" t="str">
        <f ca="1">КОПИПАСТ(B13,Итого!K17)</f>
        <v/>
      </c>
    </row>
    <row r="14" spans="1:6" x14ac:dyDescent="0.3">
      <c r="A14" t="s">
        <v>30</v>
      </c>
      <c r="B14">
        <v>642</v>
      </c>
      <c r="C14" t="str">
        <f ca="1">КОПИПАСТ(A14,Итого!J18)</f>
        <v/>
      </c>
      <c r="D14" t="str">
        <f ca="1">КОПИПАСТ(B14,Итого!K18)</f>
        <v/>
      </c>
    </row>
    <row r="15" spans="1:6" x14ac:dyDescent="0.3">
      <c r="A15" t="s">
        <v>31</v>
      </c>
      <c r="B15">
        <v>864</v>
      </c>
      <c r="C15" t="str">
        <f ca="1">КОПИПАСТ(A15,Итого!J19)</f>
        <v/>
      </c>
      <c r="D15" t="str">
        <f ca="1">КОПИПАСТ(B15,Итого!K19)</f>
        <v/>
      </c>
    </row>
    <row r="16" spans="1:6" x14ac:dyDescent="0.3">
      <c r="A16" t="s">
        <v>17</v>
      </c>
      <c r="B16">
        <v>32</v>
      </c>
      <c r="C16" t="str">
        <f ca="1">КОПИПАСТ(A16,Итого!J20)</f>
        <v/>
      </c>
      <c r="D16" t="str">
        <f ca="1">КОПИПАСТ(B16,Итого!K20)</f>
        <v/>
      </c>
    </row>
    <row r="17" spans="1:4" x14ac:dyDescent="0.3">
      <c r="A17" t="s">
        <v>18</v>
      </c>
      <c r="B17">
        <v>0</v>
      </c>
      <c r="C17" t="str">
        <f ca="1">КОПИПАСТ(A17,Итого!J21)</f>
        <v/>
      </c>
      <c r="D17" t="str">
        <f ca="1">КОПИПАСТ(B17,Итого!K21)</f>
        <v/>
      </c>
    </row>
    <row r="18" spans="1:4" x14ac:dyDescent="0.3">
      <c r="A18" t="s">
        <v>32</v>
      </c>
      <c r="B18">
        <v>31</v>
      </c>
      <c r="C18" t="str">
        <f ca="1">КОПИПАСТ(A18,Итого!J22)</f>
        <v/>
      </c>
      <c r="D18" t="str">
        <f ca="1">КОПИПАСТ(B18,Итого!K22)</f>
        <v/>
      </c>
    </row>
    <row r="19" spans="1:4" x14ac:dyDescent="0.3">
      <c r="A19" t="s">
        <v>33</v>
      </c>
      <c r="B19">
        <v>76</v>
      </c>
      <c r="C19" t="str">
        <f ca="1">КОПИПАСТ(A19,Итого!J23)</f>
        <v/>
      </c>
      <c r="D19" t="str">
        <f ca="1">КОПИПАСТ(B19,Итого!K23)</f>
        <v/>
      </c>
    </row>
    <row r="20" spans="1:4" x14ac:dyDescent="0.3">
      <c r="A20" t="s">
        <v>34</v>
      </c>
      <c r="B20">
        <v>152</v>
      </c>
      <c r="C20" t="str">
        <f ca="1">КОПИПАСТ(A20,Итого!J24)</f>
        <v/>
      </c>
      <c r="D20" t="str">
        <f ca="1">КОПИПАСТ(B20,Итого!K24)</f>
        <v/>
      </c>
    </row>
    <row r="21" spans="1:4" x14ac:dyDescent="0.3">
      <c r="A21" t="s">
        <v>35</v>
      </c>
      <c r="B21">
        <v>87</v>
      </c>
      <c r="C21" t="str">
        <f ca="1">КОПИПАСТ(A21,Итого!J25)</f>
        <v/>
      </c>
      <c r="D21" t="str">
        <f ca="1">КОПИПАСТ(B21,Итого!K25)</f>
        <v/>
      </c>
    </row>
    <row r="22" spans="1:4" x14ac:dyDescent="0.3">
      <c r="A22" t="s">
        <v>36</v>
      </c>
      <c r="B22">
        <v>31</v>
      </c>
      <c r="C22" t="str">
        <f ca="1">КОПИПАСТ(A22,Итого!J26)</f>
        <v/>
      </c>
      <c r="D22" t="str">
        <f ca="1">КОПИПАСТ(B22,Итого!K26)</f>
        <v/>
      </c>
    </row>
    <row r="23" spans="1:4" x14ac:dyDescent="0.3">
      <c r="A23" t="s">
        <v>16</v>
      </c>
      <c r="B23">
        <v>69</v>
      </c>
      <c r="C23" t="str">
        <f ca="1">КОПИПАСТ(A23,Итого!J27)</f>
        <v/>
      </c>
      <c r="D23" t="str">
        <f ca="1">КОПИПАСТ(B23,Итого!K27)</f>
        <v/>
      </c>
    </row>
    <row r="24" spans="1:4" x14ac:dyDescent="0.3">
      <c r="A24" t="s">
        <v>19</v>
      </c>
      <c r="B24">
        <v>45</v>
      </c>
      <c r="C24" t="str">
        <f ca="1">КОПИПАСТ(A24,Итого!J28)</f>
        <v/>
      </c>
      <c r="D24" t="str">
        <f ca="1">КОПИПАСТ(B24,Итого!K28)</f>
        <v/>
      </c>
    </row>
    <row r="25" spans="1:4" x14ac:dyDescent="0.3">
      <c r="A25" t="s">
        <v>20</v>
      </c>
      <c r="B25">
        <v>48</v>
      </c>
      <c r="C25" t="str">
        <f ca="1">КОПИПАСТ(A25,Итого!J29)</f>
        <v/>
      </c>
      <c r="D25" t="str">
        <f ca="1">КОПИПАСТ(B25,Итого!K29)</f>
        <v/>
      </c>
    </row>
    <row r="26" spans="1:4" x14ac:dyDescent="0.3">
      <c r="A26" t="s">
        <v>199</v>
      </c>
      <c r="B26">
        <v>67</v>
      </c>
      <c r="C26" t="str">
        <f ca="1">КОПИПАСТ(A26,Итого!J30)</f>
        <v/>
      </c>
      <c r="D26" t="str">
        <f ca="1">КОПИПАСТ(B26,Итого!K30)</f>
        <v/>
      </c>
    </row>
    <row r="27" spans="1:4" x14ac:dyDescent="0.3">
      <c r="A27" t="s">
        <v>37</v>
      </c>
      <c r="B27">
        <v>39</v>
      </c>
      <c r="C27" t="str">
        <f ca="1">КОПИПАСТ(A27,Итого!J31)</f>
        <v/>
      </c>
      <c r="D27" t="str">
        <f ca="1">КОПИПАСТ(B27,Итого!K31)</f>
        <v/>
      </c>
    </row>
    <row r="28" spans="1:4" x14ac:dyDescent="0.3">
      <c r="A28" t="s">
        <v>38</v>
      </c>
      <c r="B28">
        <v>34</v>
      </c>
      <c r="C28" t="str">
        <f ca="1">КОПИПАСТ(A28,Итого!J32)</f>
        <v/>
      </c>
      <c r="D28" t="str">
        <f ca="1">КОПИПАСТ(B28,Итого!K32)</f>
        <v/>
      </c>
    </row>
    <row r="29" spans="1:4" x14ac:dyDescent="0.3">
      <c r="A29" t="s">
        <v>21</v>
      </c>
      <c r="B29">
        <v>43</v>
      </c>
      <c r="C29" t="str">
        <f ca="1">КОПИПАСТ(A29,Итого!J33)</f>
        <v/>
      </c>
      <c r="D29" t="str">
        <f ca="1">КОПИПАСТ(B29,Итого!K33)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AI23"/>
  <sheetViews>
    <sheetView zoomScale="130" zoomScaleNormal="13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10.6640625" style="30" customWidth="1"/>
    <col min="2" max="34" width="3.6640625" style="30" customWidth="1"/>
    <col min="35" max="35" width="6.33203125" style="30" customWidth="1"/>
    <col min="36" max="16384" width="8.88671875" style="30"/>
  </cols>
  <sheetData>
    <row r="1" spans="1:35" ht="21" x14ac:dyDescent="0.4">
      <c r="A1" s="242" t="s">
        <v>63</v>
      </c>
      <c r="B1" s="108" t="s">
        <v>136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10"/>
      <c r="AA1" s="90"/>
      <c r="AB1" s="31"/>
    </row>
    <row r="2" spans="1:35" ht="21.6" thickBot="1" x14ac:dyDescent="0.45">
      <c r="A2" s="243"/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3"/>
      <c r="AA2" s="90"/>
      <c r="AB2" s="47"/>
    </row>
    <row r="3" spans="1:35" ht="162" customHeight="1" thickBot="1" x14ac:dyDescent="0.35">
      <c r="A3" s="103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43" t="s">
        <v>59</v>
      </c>
    </row>
    <row r="4" spans="1:35" ht="15" thickBot="1" x14ac:dyDescent="0.35">
      <c r="A4" s="104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31"/>
    </row>
    <row r="5" spans="1:35" ht="14.4" customHeight="1" x14ac:dyDescent="0.35">
      <c r="A5" s="105" t="s">
        <v>137</v>
      </c>
      <c r="B5" s="40"/>
      <c r="C5" s="40"/>
      <c r="D5" s="40"/>
      <c r="E5" s="40"/>
      <c r="F5" s="40"/>
      <c r="G5" s="40"/>
      <c r="H5" s="40"/>
      <c r="I5" s="63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63"/>
      <c r="AA5" s="63"/>
      <c r="AB5" s="63"/>
      <c r="AC5" s="31"/>
      <c r="AD5" s="31"/>
      <c r="AE5" s="31"/>
      <c r="AF5" s="31"/>
      <c r="AG5" s="31"/>
      <c r="AH5" s="31"/>
      <c r="AI5" s="31">
        <f>SUMPRODUCT(B4:AH4,B5:AH5)</f>
        <v>0</v>
      </c>
    </row>
    <row r="6" spans="1:35" ht="14.4" customHeight="1" x14ac:dyDescent="0.3">
      <c r="A6" s="106" t="s">
        <v>138</v>
      </c>
      <c r="B6" s="31"/>
      <c r="C6" s="31"/>
      <c r="D6" s="31"/>
      <c r="E6" s="31"/>
      <c r="F6" s="31"/>
      <c r="G6" s="31"/>
      <c r="H6" s="31"/>
      <c r="I6" s="5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50"/>
      <c r="AA6" s="63"/>
      <c r="AB6" s="50"/>
      <c r="AC6" s="31"/>
      <c r="AD6" s="31"/>
      <c r="AE6" s="31"/>
      <c r="AF6" s="31"/>
      <c r="AG6" s="31"/>
      <c r="AH6" s="31"/>
      <c r="AI6" s="31">
        <f>SUMPRODUCT(B4:AH4,B6:AH6)</f>
        <v>0</v>
      </c>
    </row>
    <row r="7" spans="1:35" ht="14.4" customHeight="1" x14ac:dyDescent="0.3">
      <c r="A7" s="182" t="s">
        <v>139</v>
      </c>
      <c r="B7" s="31"/>
      <c r="C7" s="31"/>
      <c r="D7" s="31"/>
      <c r="E7" s="31"/>
      <c r="F7" s="31"/>
      <c r="G7" s="31"/>
      <c r="H7" s="31"/>
      <c r="I7" s="5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50"/>
      <c r="AA7" s="63"/>
      <c r="AB7" s="50"/>
      <c r="AC7" s="31"/>
      <c r="AD7" s="31"/>
      <c r="AE7" s="31"/>
      <c r="AF7" s="31"/>
      <c r="AG7" s="31"/>
      <c r="AH7" s="31"/>
      <c r="AI7" s="31">
        <f>SUMPRODUCT(B4:AH4,B7:AH7)</f>
        <v>0</v>
      </c>
    </row>
    <row r="8" spans="1:35" ht="14.4" customHeight="1" x14ac:dyDescent="0.3">
      <c r="A8" s="39" t="s">
        <v>140</v>
      </c>
      <c r="B8" s="31"/>
      <c r="C8" s="31"/>
      <c r="D8" s="31"/>
      <c r="E8" s="31"/>
      <c r="F8" s="31"/>
      <c r="G8" s="31"/>
      <c r="H8" s="31"/>
      <c r="I8" s="5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50"/>
      <c r="AA8" s="63"/>
      <c r="AB8" s="50"/>
      <c r="AC8" s="31"/>
      <c r="AD8" s="31"/>
      <c r="AE8" s="31"/>
      <c r="AF8" s="31"/>
      <c r="AG8" s="31"/>
      <c r="AH8" s="31"/>
      <c r="AI8" s="31">
        <f>SUMPRODUCT(B4:AH4,B8:AH8)</f>
        <v>0</v>
      </c>
    </row>
    <row r="9" spans="1:35" ht="14.4" customHeight="1" x14ac:dyDescent="0.3">
      <c r="A9" s="39" t="s">
        <v>141</v>
      </c>
      <c r="B9" s="31"/>
      <c r="C9" s="31"/>
      <c r="D9" s="31"/>
      <c r="E9" s="31"/>
      <c r="F9" s="31"/>
      <c r="G9" s="31"/>
      <c r="H9" s="31"/>
      <c r="I9" s="5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50"/>
      <c r="AA9" s="63"/>
      <c r="AB9" s="50"/>
      <c r="AC9" s="31"/>
      <c r="AD9" s="31"/>
      <c r="AE9" s="31"/>
      <c r="AF9" s="31"/>
      <c r="AG9" s="31"/>
      <c r="AH9" s="31"/>
      <c r="AI9" s="31">
        <f>SUMPRODUCT(B4:AH4,B9:AH9)</f>
        <v>0</v>
      </c>
    </row>
    <row r="10" spans="1:35" ht="14.4" customHeight="1" x14ac:dyDescent="0.3">
      <c r="A10" s="39" t="s">
        <v>142</v>
      </c>
      <c r="B10" s="31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0"/>
      <c r="AA10" s="63"/>
      <c r="AB10" s="50"/>
      <c r="AC10" s="31"/>
      <c r="AD10" s="31"/>
      <c r="AE10" s="31"/>
      <c r="AF10" s="31"/>
      <c r="AG10" s="31"/>
      <c r="AH10" s="31"/>
      <c r="AI10" s="31">
        <f>SUMPRODUCT(B4:AH4,B10:AH10)</f>
        <v>0</v>
      </c>
    </row>
    <row r="11" spans="1:35" ht="14.4" customHeight="1" x14ac:dyDescent="0.3">
      <c r="A11" s="39" t="s">
        <v>143</v>
      </c>
      <c r="B11" s="31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0"/>
      <c r="AA11" s="63"/>
      <c r="AB11" s="50"/>
      <c r="AC11" s="31"/>
      <c r="AD11" s="31"/>
      <c r="AE11" s="31"/>
      <c r="AF11" s="31"/>
      <c r="AG11" s="31"/>
      <c r="AH11" s="31"/>
      <c r="AI11" s="31">
        <f>SUMPRODUCT(B4:AH4,B11:AH11)</f>
        <v>0</v>
      </c>
    </row>
    <row r="12" spans="1:35" ht="14.4" customHeight="1" x14ac:dyDescent="0.3">
      <c r="A12" s="39"/>
      <c r="B12" s="31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0"/>
      <c r="AA12" s="63"/>
      <c r="AB12" s="50"/>
      <c r="AC12" s="31"/>
      <c r="AD12" s="31"/>
      <c r="AE12" s="31"/>
      <c r="AF12" s="31"/>
      <c r="AG12" s="31"/>
      <c r="AH12" s="31"/>
      <c r="AI12" s="31">
        <f>SUMPRODUCT(B4:AH4,B12:AH12)</f>
        <v>0</v>
      </c>
    </row>
    <row r="13" spans="1:35" ht="14.4" customHeight="1" x14ac:dyDescent="0.3">
      <c r="A13" s="39"/>
      <c r="B13" s="31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0"/>
      <c r="AA13" s="63"/>
      <c r="AB13" s="50"/>
      <c r="AC13" s="31"/>
      <c r="AD13" s="31"/>
      <c r="AE13" s="31"/>
      <c r="AF13" s="31"/>
      <c r="AG13" s="31"/>
      <c r="AH13" s="31"/>
      <c r="AI13" s="31">
        <f>SUMPRODUCT(B4:AH4,B13:AH13)</f>
        <v>0</v>
      </c>
    </row>
    <row r="14" spans="1:35" ht="14.4" customHeight="1" x14ac:dyDescent="0.3">
      <c r="A14" s="39"/>
      <c r="B14" s="31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0"/>
      <c r="AA14" s="63"/>
      <c r="AB14" s="50"/>
      <c r="AC14" s="31"/>
      <c r="AD14" s="31"/>
      <c r="AE14" s="31"/>
      <c r="AF14" s="31"/>
      <c r="AG14" s="31"/>
      <c r="AH14" s="31"/>
      <c r="AI14" s="31">
        <f>SUMPRODUCT(B4:AH4,B14:AH14)</f>
        <v>0</v>
      </c>
    </row>
    <row r="15" spans="1:35" ht="14.4" customHeight="1" x14ac:dyDescent="0.3">
      <c r="A15" s="39"/>
      <c r="B15" s="31"/>
      <c r="C15" s="31"/>
      <c r="D15" s="31"/>
      <c r="E15" s="31"/>
      <c r="F15" s="31"/>
      <c r="G15" s="31"/>
      <c r="H15" s="31"/>
      <c r="I15" s="5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50"/>
      <c r="AA15" s="63"/>
      <c r="AB15" s="50"/>
      <c r="AC15" s="31"/>
      <c r="AD15" s="31"/>
      <c r="AE15" s="31"/>
      <c r="AF15" s="31"/>
      <c r="AG15" s="31"/>
      <c r="AH15" s="31"/>
      <c r="AI15" s="31">
        <f>SUMPRODUCT(B4:AH4,B15:AH15)</f>
        <v>0</v>
      </c>
    </row>
    <row r="16" spans="1:35" ht="21.6" customHeight="1" thickBot="1" x14ac:dyDescent="0.45">
      <c r="A16" s="107" t="s">
        <v>3</v>
      </c>
      <c r="B16" s="149">
        <f t="shared" ref="B16:AI16" si="0">SUM(B5:B15)</f>
        <v>0</v>
      </c>
      <c r="C16" s="149">
        <f t="shared" si="0"/>
        <v>0</v>
      </c>
      <c r="D16" s="149">
        <f t="shared" si="0"/>
        <v>0</v>
      </c>
      <c r="E16" s="149">
        <f t="shared" si="0"/>
        <v>0</v>
      </c>
      <c r="F16" s="149">
        <f t="shared" si="0"/>
        <v>0</v>
      </c>
      <c r="G16" s="149">
        <f t="shared" si="0"/>
        <v>0</v>
      </c>
      <c r="H16" s="149">
        <f t="shared" si="0"/>
        <v>0</v>
      </c>
      <c r="I16" s="151">
        <f t="shared" si="0"/>
        <v>0</v>
      </c>
      <c r="J16" s="151">
        <f t="shared" si="0"/>
        <v>0</v>
      </c>
      <c r="K16" s="151">
        <f t="shared" si="0"/>
        <v>0</v>
      </c>
      <c r="L16" s="151">
        <f t="shared" si="0"/>
        <v>0</v>
      </c>
      <c r="M16" s="151">
        <f t="shared" si="0"/>
        <v>0</v>
      </c>
      <c r="N16" s="151">
        <f t="shared" si="0"/>
        <v>0</v>
      </c>
      <c r="O16" s="151">
        <f t="shared" si="0"/>
        <v>0</v>
      </c>
      <c r="P16" s="151">
        <f t="shared" si="0"/>
        <v>0</v>
      </c>
      <c r="Q16" s="151">
        <f t="shared" si="0"/>
        <v>0</v>
      </c>
      <c r="R16" s="151">
        <f t="shared" si="0"/>
        <v>0</v>
      </c>
      <c r="S16" s="151">
        <f t="shared" si="0"/>
        <v>0</v>
      </c>
      <c r="T16" s="151">
        <f t="shared" si="0"/>
        <v>0</v>
      </c>
      <c r="U16" s="151">
        <f t="shared" si="0"/>
        <v>0</v>
      </c>
      <c r="V16" s="151">
        <f t="shared" si="0"/>
        <v>0</v>
      </c>
      <c r="W16" s="151">
        <f t="shared" si="0"/>
        <v>0</v>
      </c>
      <c r="X16" s="151">
        <f t="shared" si="0"/>
        <v>0</v>
      </c>
      <c r="Y16" s="151">
        <f t="shared" si="0"/>
        <v>0</v>
      </c>
      <c r="Z16" s="151">
        <f t="shared" si="0"/>
        <v>0</v>
      </c>
      <c r="AA16" s="151">
        <f t="shared" si="0"/>
        <v>0</v>
      </c>
      <c r="AB16" s="151">
        <f t="shared" si="0"/>
        <v>0</v>
      </c>
      <c r="AC16" s="55">
        <f t="shared" si="0"/>
        <v>0</v>
      </c>
      <c r="AD16" s="55">
        <f t="shared" si="0"/>
        <v>0</v>
      </c>
      <c r="AE16" s="55">
        <f t="shared" si="0"/>
        <v>0</v>
      </c>
      <c r="AF16" s="55">
        <f t="shared" si="0"/>
        <v>0</v>
      </c>
      <c r="AG16" s="55">
        <f t="shared" si="0"/>
        <v>0</v>
      </c>
      <c r="AH16" s="55">
        <f t="shared" si="0"/>
        <v>0</v>
      </c>
      <c r="AI16" s="55">
        <f t="shared" si="0"/>
        <v>0</v>
      </c>
    </row>
    <row r="17" spans="1:35" ht="14.4" customHeight="1" x14ac:dyDescent="0.3">
      <c r="A17" s="31" t="s">
        <v>128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50"/>
      <c r="AC17" s="31"/>
      <c r="AD17" s="31"/>
      <c r="AE17" s="31"/>
      <c r="AF17" s="31"/>
      <c r="AG17" s="31"/>
      <c r="AH17" s="31"/>
      <c r="AI17" s="31"/>
    </row>
    <row r="18" spans="1:35" ht="14.4" customHeight="1" x14ac:dyDescent="0.3">
      <c r="B18" s="217"/>
      <c r="C18" s="217"/>
      <c r="G18" s="217"/>
      <c r="H18" s="217"/>
    </row>
    <row r="19" spans="1:35" ht="14.4" customHeight="1" x14ac:dyDescent="0.3"/>
    <row r="20" spans="1:35" ht="14.4" customHeight="1" x14ac:dyDescent="0.3"/>
    <row r="21" spans="1:35" ht="14.4" customHeight="1" x14ac:dyDescent="0.3"/>
    <row r="22" spans="1:35" ht="14.4" customHeight="1" x14ac:dyDescent="0.3"/>
    <row r="23" spans="1:35" ht="14.4" customHeight="1" x14ac:dyDescent="0.3"/>
  </sheetData>
  <mergeCells count="3">
    <mergeCell ref="A1:A2"/>
    <mergeCell ref="B18:C18"/>
    <mergeCell ref="G18:H18"/>
  </mergeCells>
  <pageMargins left="0" right="0" top="0" bottom="0" header="0" footer="0"/>
  <pageSetup paperSize="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AJ23"/>
  <sheetViews>
    <sheetView zoomScale="115" zoomScaleNormal="115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8.88671875" style="30"/>
    <col min="2" max="35" width="3.6640625" style="30" customWidth="1"/>
    <col min="36" max="16384" width="8.88671875" style="30"/>
  </cols>
  <sheetData>
    <row r="1" spans="1:36" ht="15" customHeight="1" thickBot="1" x14ac:dyDescent="0.35">
      <c r="A1" s="225" t="s">
        <v>63</v>
      </c>
      <c r="B1" s="244" t="s">
        <v>129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6"/>
      <c r="AA1" s="31"/>
    </row>
    <row r="2" spans="1:36" ht="40.5" hidden="1" customHeight="1" thickBot="1" x14ac:dyDescent="0.35">
      <c r="A2" s="226"/>
      <c r="B2" s="247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9"/>
      <c r="AA2" s="47"/>
    </row>
    <row r="3" spans="1:36" ht="122.4" thickBot="1" x14ac:dyDescent="0.35">
      <c r="A3" s="100">
        <f>Итого!C2</f>
        <v>44171</v>
      </c>
      <c r="B3" s="44" t="str">
        <f>Итого!B5</f>
        <v>прост. Бат. 0,25</v>
      </c>
      <c r="C3" s="44" t="str">
        <f>Итого!B6</f>
        <v>сеяный хлеб</v>
      </c>
      <c r="D3" s="44" t="str">
        <f>Итого!B7</f>
        <v>раменский батон</v>
      </c>
      <c r="E3" s="44" t="str">
        <f>Итого!B8</f>
        <v>калач сарат.</v>
      </c>
      <c r="F3" s="44" t="str">
        <f>Итого!B9</f>
        <v>ромашка</v>
      </c>
      <c r="G3" s="45" t="str">
        <f>Итого!B10</f>
        <v>городская булка</v>
      </c>
      <c r="H3" s="45" t="str">
        <f>Итого!B11</f>
        <v>слойка</v>
      </c>
      <c r="I3" s="45" t="str">
        <f>Итого!B12</f>
        <v>сосиска в тесте</v>
      </c>
      <c r="J3" s="44" t="str">
        <f>Итого!B13</f>
        <v>ватрушка</v>
      </c>
      <c r="K3" s="44" t="str">
        <f>Итого!B14</f>
        <v>тесто</v>
      </c>
      <c r="L3" s="44" t="str">
        <f>Итого!B15</f>
        <v>фран. Батон</v>
      </c>
      <c r="M3" s="44" t="str">
        <f>Итого!B16</f>
        <v>лаваш</v>
      </c>
      <c r="N3" s="44" t="str">
        <f>Итого!B17</f>
        <v>пшеничный хлеб</v>
      </c>
      <c r="O3" s="44" t="str">
        <f>Итого!B18</f>
        <v xml:space="preserve">деревенский </v>
      </c>
      <c r="P3" s="44" t="str">
        <f>Итого!B19</f>
        <v xml:space="preserve">домашний </v>
      </c>
      <c r="Q3" s="44" t="str">
        <f>Итого!B20</f>
        <v>докторская булка</v>
      </c>
      <c r="R3" s="44" t="str">
        <f>Итого!B21</f>
        <v>печенье</v>
      </c>
      <c r="S3" s="44" t="str">
        <f>Итого!B22</f>
        <v>нарез. Сеяный</v>
      </c>
      <c r="T3" s="44" t="str">
        <f>Итого!B23</f>
        <v>нарез. Раменский</v>
      </c>
      <c r="U3" s="44" t="str">
        <f>Итого!B24</f>
        <v>сеяный 0,5</v>
      </c>
      <c r="V3" s="44" t="str">
        <f>Итого!B25</f>
        <v>сеяный 0,3</v>
      </c>
      <c r="W3" s="65" t="str">
        <f>Итого!B26</f>
        <v>сеяный 0,2</v>
      </c>
      <c r="X3" s="65" t="str">
        <f>Итого!B27</f>
        <v>деревенский 0,25</v>
      </c>
      <c r="Y3" s="65" t="str">
        <f>Итого!B28</f>
        <v>хачапури</v>
      </c>
      <c r="Z3" s="65" t="str">
        <f>Итого!B29</f>
        <v>сосиска с сыром</v>
      </c>
      <c r="AA3" s="65" t="str">
        <f>Итого!B30</f>
        <v>розочка с творогом</v>
      </c>
      <c r="AB3" s="65" t="str">
        <f>Итого!B31</f>
        <v>пирог с капустой</v>
      </c>
      <c r="AC3" s="65" t="str">
        <f>Итого!B32</f>
        <v>пирог с луком</v>
      </c>
      <c r="AD3" s="65" t="str">
        <f>Итого!B33</f>
        <v>пирог с мясом</v>
      </c>
      <c r="AE3" s="65">
        <f>Итого!B34</f>
        <v>0</v>
      </c>
      <c r="AF3" s="65">
        <f>Итого!B35</f>
        <v>0</v>
      </c>
      <c r="AG3" s="65">
        <f>Итого!B36</f>
        <v>0</v>
      </c>
      <c r="AH3" s="65">
        <f>Итого!B37</f>
        <v>0</v>
      </c>
      <c r="AI3" s="65">
        <f>Итого!B38</f>
        <v>0</v>
      </c>
      <c r="AJ3" s="43" t="s">
        <v>59</v>
      </c>
    </row>
    <row r="4" spans="1:36" ht="15" thickBot="1" x14ac:dyDescent="0.35">
      <c r="A4" s="84"/>
      <c r="B4" s="42">
        <f>Итого!A5</f>
        <v>14</v>
      </c>
      <c r="C4" s="42">
        <f>Итого!A6</f>
        <v>23</v>
      </c>
      <c r="D4" s="42">
        <f>Итого!A7</f>
        <v>23</v>
      </c>
      <c r="E4" s="42">
        <f>Итого!A8</f>
        <v>23</v>
      </c>
      <c r="F4" s="42">
        <f>Итого!A9</f>
        <v>24</v>
      </c>
      <c r="G4" s="42">
        <f>Итого!A10</f>
        <v>12</v>
      </c>
      <c r="H4" s="42">
        <f>Итого!A11</f>
        <v>14</v>
      </c>
      <c r="I4" s="42">
        <f>Итого!A12</f>
        <v>22</v>
      </c>
      <c r="J4" s="42">
        <f>Итого!A13</f>
        <v>21</v>
      </c>
      <c r="K4" s="42">
        <f>Итого!A14</f>
        <v>50</v>
      </c>
      <c r="L4" s="42">
        <f>Итого!A15</f>
        <v>23</v>
      </c>
      <c r="M4" s="42">
        <f>Итого!A16</f>
        <v>15</v>
      </c>
      <c r="N4" s="42">
        <f>Итого!A17</f>
        <v>23</v>
      </c>
      <c r="O4" s="42">
        <f>Итого!A18</f>
        <v>24</v>
      </c>
      <c r="P4" s="42">
        <f>Итого!A19</f>
        <v>25</v>
      </c>
      <c r="Q4" s="42">
        <f>Итого!A20</f>
        <v>13</v>
      </c>
      <c r="R4" s="42">
        <f>Итого!A21</f>
        <v>150</v>
      </c>
      <c r="S4" s="42">
        <f>Итого!A22</f>
        <v>25</v>
      </c>
      <c r="T4" s="42">
        <f>Итого!A23</f>
        <v>25</v>
      </c>
      <c r="U4" s="42">
        <f>Итого!A24</f>
        <v>23</v>
      </c>
      <c r="V4" s="42">
        <f>Итого!A25</f>
        <v>15</v>
      </c>
      <c r="W4" s="42">
        <f>Итого!A26</f>
        <v>12</v>
      </c>
      <c r="X4" s="42">
        <f>Итого!A27</f>
        <v>13</v>
      </c>
      <c r="Y4" s="42">
        <f>Итого!A28</f>
        <v>20</v>
      </c>
      <c r="Z4" s="42">
        <f>Итого!A29</f>
        <v>25</v>
      </c>
      <c r="AA4" s="42">
        <f>Итого!A30</f>
        <v>12</v>
      </c>
      <c r="AB4" s="42">
        <f>Итого!A31</f>
        <v>16</v>
      </c>
      <c r="AC4" s="42">
        <f>Итого!A32</f>
        <v>16</v>
      </c>
      <c r="AD4" s="42">
        <v>19</v>
      </c>
      <c r="AE4" s="42">
        <f>Итого!A34</f>
        <v>0</v>
      </c>
      <c r="AF4" s="42">
        <f>Итого!A35</f>
        <v>0</v>
      </c>
      <c r="AG4" s="42">
        <f>Итого!A36</f>
        <v>0</v>
      </c>
      <c r="AH4" s="42">
        <f>Итого!A37</f>
        <v>0</v>
      </c>
      <c r="AI4" s="42">
        <f>Итого!A38</f>
        <v>0</v>
      </c>
      <c r="AJ4" s="31"/>
    </row>
    <row r="5" spans="1:36" x14ac:dyDescent="0.3">
      <c r="A5" s="51" t="s">
        <v>130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50"/>
      <c r="AB5" s="31"/>
      <c r="AC5" s="31"/>
      <c r="AD5" s="31"/>
      <c r="AE5" s="31"/>
      <c r="AF5" s="31"/>
      <c r="AG5" s="31"/>
      <c r="AH5" s="31"/>
      <c r="AI5" s="31"/>
      <c r="AJ5" s="31">
        <f>SUMPRODUCT(B4:AI4,B5:AI5)</f>
        <v>0</v>
      </c>
    </row>
    <row r="6" spans="1:36" x14ac:dyDescent="0.3">
      <c r="A6" s="98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50"/>
      <c r="AB6" s="31"/>
      <c r="AC6" s="31"/>
      <c r="AD6" s="31"/>
      <c r="AE6" s="31"/>
      <c r="AF6" s="31"/>
      <c r="AG6" s="31"/>
      <c r="AH6" s="31"/>
      <c r="AI6" s="31"/>
      <c r="AJ6" s="31">
        <f>SUMPRODUCT(B4:AI4,B6:AI6)</f>
        <v>0</v>
      </c>
    </row>
    <row r="7" spans="1:36" x14ac:dyDescent="0.3">
      <c r="A7" s="51" t="s">
        <v>131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50"/>
      <c r="AB7" s="31"/>
      <c r="AC7" s="31"/>
      <c r="AD7" s="31"/>
      <c r="AE7" s="31"/>
      <c r="AF7" s="31"/>
      <c r="AG7" s="31"/>
      <c r="AH7" s="31"/>
      <c r="AI7" s="31"/>
      <c r="AJ7" s="31">
        <f>SUMPRODUCT(B4:AI4,B7:AI7)</f>
        <v>0</v>
      </c>
    </row>
    <row r="8" spans="1:36" x14ac:dyDescent="0.3">
      <c r="A8" s="51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50"/>
      <c r="AB8" s="31"/>
      <c r="AC8" s="31"/>
      <c r="AD8" s="31"/>
      <c r="AE8" s="31"/>
      <c r="AF8" s="31"/>
      <c r="AG8" s="31"/>
      <c r="AH8" s="31"/>
      <c r="AI8" s="31"/>
      <c r="AJ8" s="31">
        <f>SUMPRODUCT(B4:AI4,B8:AI8)</f>
        <v>0</v>
      </c>
    </row>
    <row r="9" spans="1:36" x14ac:dyDescent="0.3">
      <c r="A9" s="51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50"/>
      <c r="AB9" s="31"/>
      <c r="AC9" s="31"/>
      <c r="AD9" s="31"/>
      <c r="AE9" s="31"/>
      <c r="AF9" s="31"/>
      <c r="AG9" s="31"/>
      <c r="AH9" s="31"/>
      <c r="AI9" s="31"/>
      <c r="AJ9" s="31">
        <f>SUMPRODUCT(B4:AI4,B9:AI9)</f>
        <v>0</v>
      </c>
    </row>
    <row r="10" spans="1:36" x14ac:dyDescent="0.3">
      <c r="A10" s="51" t="s">
        <v>132</v>
      </c>
      <c r="B10" s="31"/>
      <c r="C10" s="31"/>
      <c r="D10" s="31"/>
      <c r="E10" s="31"/>
      <c r="F10" s="31"/>
      <c r="G10" s="31"/>
      <c r="H10" s="31"/>
      <c r="I10" s="5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50"/>
      <c r="AA10" s="50"/>
      <c r="AB10" s="31"/>
      <c r="AC10" s="31"/>
      <c r="AD10" s="31"/>
      <c r="AE10" s="31"/>
      <c r="AF10" s="31"/>
      <c r="AG10" s="31"/>
      <c r="AH10" s="31"/>
      <c r="AI10" s="31"/>
      <c r="AJ10" s="31">
        <f>SUMPRODUCT(B4:AI4,B10:AI10)</f>
        <v>0</v>
      </c>
    </row>
    <row r="11" spans="1:36" x14ac:dyDescent="0.3">
      <c r="A11" s="51"/>
      <c r="B11" s="31"/>
      <c r="C11" s="31"/>
      <c r="D11" s="31"/>
      <c r="E11" s="31"/>
      <c r="F11" s="31"/>
      <c r="G11" s="31"/>
      <c r="H11" s="31"/>
      <c r="I11" s="5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50"/>
      <c r="AA11" s="50"/>
      <c r="AB11" s="31"/>
      <c r="AC11" s="31"/>
      <c r="AD11" s="31"/>
      <c r="AE11" s="31"/>
      <c r="AF11" s="31"/>
      <c r="AG11" s="31"/>
      <c r="AH11" s="31"/>
      <c r="AI11" s="31"/>
      <c r="AJ11" s="31">
        <f>SUMPRODUCT(B4:AI4,B11:AI11)</f>
        <v>0</v>
      </c>
    </row>
    <row r="12" spans="1:36" x14ac:dyDescent="0.3">
      <c r="A12" s="51" t="s">
        <v>133</v>
      </c>
      <c r="B12" s="31"/>
      <c r="C12" s="31"/>
      <c r="D12" s="31"/>
      <c r="E12" s="31"/>
      <c r="F12" s="31"/>
      <c r="G12" s="31"/>
      <c r="H12" s="31"/>
      <c r="I12" s="5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50"/>
      <c r="AA12" s="50"/>
      <c r="AB12" s="31"/>
      <c r="AC12" s="31"/>
      <c r="AD12" s="31"/>
      <c r="AE12" s="31"/>
      <c r="AF12" s="31"/>
      <c r="AG12" s="31"/>
      <c r="AH12" s="31"/>
      <c r="AI12" s="31"/>
      <c r="AJ12" s="31">
        <f>SUMPRODUCT(B4:AI4,B12:AI12)</f>
        <v>0</v>
      </c>
    </row>
    <row r="13" spans="1:36" x14ac:dyDescent="0.3">
      <c r="A13" s="51" t="s">
        <v>134</v>
      </c>
      <c r="B13" s="31"/>
      <c r="C13" s="31"/>
      <c r="D13" s="31"/>
      <c r="E13" s="31"/>
      <c r="F13" s="31"/>
      <c r="G13" s="31"/>
      <c r="H13" s="31"/>
      <c r="I13" s="5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50"/>
      <c r="AA13" s="50"/>
      <c r="AB13" s="31"/>
      <c r="AC13" s="31"/>
      <c r="AD13" s="31"/>
      <c r="AE13" s="31"/>
      <c r="AF13" s="31"/>
      <c r="AG13" s="31"/>
      <c r="AH13" s="31"/>
      <c r="AI13" s="31"/>
      <c r="AJ13" s="31">
        <f>SUMPRODUCT(B4:AI4,B13:AI13)</f>
        <v>0</v>
      </c>
    </row>
    <row r="14" spans="1:36" x14ac:dyDescent="0.3">
      <c r="A14" s="51" t="s">
        <v>135</v>
      </c>
      <c r="B14" s="31"/>
      <c r="C14" s="31"/>
      <c r="D14" s="31"/>
      <c r="E14" s="31"/>
      <c r="F14" s="31"/>
      <c r="G14" s="31"/>
      <c r="H14" s="31"/>
      <c r="I14" s="5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50"/>
      <c r="AA14" s="50"/>
      <c r="AB14" s="31"/>
      <c r="AC14" s="31"/>
      <c r="AD14" s="31"/>
      <c r="AE14" s="31"/>
      <c r="AF14" s="31"/>
      <c r="AG14" s="31"/>
      <c r="AH14" s="31"/>
      <c r="AI14" s="31"/>
      <c r="AJ14" s="31">
        <f>SUMPRODUCT(B4:AI4,B14:AI14)</f>
        <v>0</v>
      </c>
    </row>
    <row r="15" spans="1:36" x14ac:dyDescent="0.3">
      <c r="A15" s="51"/>
      <c r="B15" s="31"/>
      <c r="C15" s="31"/>
      <c r="D15" s="31"/>
      <c r="E15" s="31"/>
      <c r="F15" s="31"/>
      <c r="G15" s="31"/>
      <c r="H15" s="31"/>
      <c r="I15" s="5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50"/>
      <c r="AA15" s="50"/>
      <c r="AB15" s="31"/>
      <c r="AC15" s="31"/>
      <c r="AD15" s="31"/>
      <c r="AE15" s="31"/>
      <c r="AF15" s="31"/>
      <c r="AG15" s="31"/>
      <c r="AH15" s="31"/>
      <c r="AI15" s="31"/>
      <c r="AJ15" s="31">
        <f>SUMPRODUCT(B4:AI4,B15:AI15)</f>
        <v>0</v>
      </c>
    </row>
    <row r="16" spans="1:36" x14ac:dyDescent="0.3">
      <c r="A16" s="51"/>
      <c r="B16" s="31"/>
      <c r="C16" s="31"/>
      <c r="D16" s="31"/>
      <c r="E16" s="31"/>
      <c r="F16" s="31"/>
      <c r="G16" s="31"/>
      <c r="H16" s="31"/>
      <c r="I16" s="5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50"/>
      <c r="AA16" s="50"/>
      <c r="AB16" s="31"/>
      <c r="AC16" s="31"/>
      <c r="AD16" s="31"/>
      <c r="AE16" s="31"/>
      <c r="AF16" s="31"/>
      <c r="AG16" s="31"/>
      <c r="AH16" s="31"/>
      <c r="AI16" s="31"/>
      <c r="AJ16" s="31">
        <f>SUMPRODUCT(B4:AI4,B16:AI16)</f>
        <v>0</v>
      </c>
    </row>
    <row r="17" spans="1:36" ht="0.75" customHeight="1" x14ac:dyDescent="0.3">
      <c r="A17" s="51"/>
      <c r="B17" s="31"/>
      <c r="C17" s="31"/>
      <c r="D17" s="31"/>
      <c r="E17" s="31"/>
      <c r="F17" s="31"/>
      <c r="G17" s="31"/>
      <c r="H17" s="31"/>
      <c r="I17" s="5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50"/>
      <c r="AA17" s="50"/>
      <c r="AB17" s="31"/>
      <c r="AC17" s="31"/>
      <c r="AD17" s="31"/>
      <c r="AE17" s="31"/>
      <c r="AF17" s="31"/>
      <c r="AG17" s="31"/>
      <c r="AH17" s="31"/>
      <c r="AI17" s="31"/>
      <c r="AJ17" s="31">
        <f>SUMPRODUCT(B4:AI4,B17:AI17)</f>
        <v>0</v>
      </c>
    </row>
    <row r="18" spans="1:36" x14ac:dyDescent="0.3">
      <c r="A18" s="51"/>
      <c r="B18" s="31"/>
      <c r="C18" s="31"/>
      <c r="D18" s="31"/>
      <c r="E18" s="31"/>
      <c r="F18" s="31"/>
      <c r="G18" s="31"/>
      <c r="H18" s="31"/>
      <c r="I18" s="5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50"/>
      <c r="AA18" s="50"/>
      <c r="AB18" s="31"/>
      <c r="AC18" s="31"/>
      <c r="AD18" s="31"/>
      <c r="AE18" s="31"/>
      <c r="AF18" s="31"/>
      <c r="AG18" s="31"/>
      <c r="AH18" s="31"/>
      <c r="AI18" s="31"/>
      <c r="AJ18" s="31">
        <f>SUMPRODUCT(B4:AI4,B18:AI18)</f>
        <v>0</v>
      </c>
    </row>
    <row r="19" spans="1:36" ht="15" thickBot="1" x14ac:dyDescent="0.35">
      <c r="A19" s="5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50"/>
      <c r="AB19" s="31"/>
      <c r="AC19" s="31"/>
      <c r="AD19" s="31"/>
      <c r="AE19" s="31"/>
      <c r="AF19" s="31"/>
      <c r="AG19" s="31"/>
      <c r="AH19" s="31"/>
      <c r="AI19" s="31"/>
      <c r="AJ19" s="31">
        <f>SUMPRODUCT(B4:AI4,B19:AI19)</f>
        <v>0</v>
      </c>
    </row>
    <row r="20" spans="1:36" ht="20.25" customHeight="1" thickBot="1" x14ac:dyDescent="0.35">
      <c r="A20" s="71" t="s">
        <v>86</v>
      </c>
      <c r="B20" s="144">
        <f t="shared" ref="B20:AA20" si="0">SUM(B5:B19)</f>
        <v>0</v>
      </c>
      <c r="C20" s="144">
        <f t="shared" si="0"/>
        <v>0</v>
      </c>
      <c r="D20" s="144">
        <f t="shared" si="0"/>
        <v>0</v>
      </c>
      <c r="E20" s="144">
        <f t="shared" si="0"/>
        <v>0</v>
      </c>
      <c r="F20" s="144">
        <f t="shared" si="0"/>
        <v>0</v>
      </c>
      <c r="G20" s="144">
        <f t="shared" si="0"/>
        <v>0</v>
      </c>
      <c r="H20" s="144">
        <f t="shared" si="0"/>
        <v>0</v>
      </c>
      <c r="I20" s="145">
        <f t="shared" si="0"/>
        <v>0</v>
      </c>
      <c r="J20" s="145">
        <f t="shared" si="0"/>
        <v>0</v>
      </c>
      <c r="K20" s="145">
        <f t="shared" si="0"/>
        <v>0</v>
      </c>
      <c r="L20" s="145">
        <f t="shared" si="0"/>
        <v>0</v>
      </c>
      <c r="M20" s="145">
        <f t="shared" si="0"/>
        <v>0</v>
      </c>
      <c r="N20" s="145">
        <f t="shared" si="0"/>
        <v>0</v>
      </c>
      <c r="O20" s="145">
        <f t="shared" si="0"/>
        <v>0</v>
      </c>
      <c r="P20" s="145">
        <f t="shared" si="0"/>
        <v>0</v>
      </c>
      <c r="Q20" s="145">
        <f t="shared" si="0"/>
        <v>0</v>
      </c>
      <c r="R20" s="145">
        <f t="shared" si="0"/>
        <v>0</v>
      </c>
      <c r="S20" s="145">
        <f t="shared" si="0"/>
        <v>0</v>
      </c>
      <c r="T20" s="145">
        <f t="shared" si="0"/>
        <v>0</v>
      </c>
      <c r="U20" s="145">
        <f t="shared" si="0"/>
        <v>0</v>
      </c>
      <c r="V20" s="145">
        <f t="shared" si="0"/>
        <v>0</v>
      </c>
      <c r="W20" s="145">
        <f t="shared" si="0"/>
        <v>0</v>
      </c>
      <c r="X20" s="145">
        <f t="shared" si="0"/>
        <v>0</v>
      </c>
      <c r="Y20" s="145">
        <f t="shared" si="0"/>
        <v>0</v>
      </c>
      <c r="Z20" s="145">
        <f t="shared" si="0"/>
        <v>0</v>
      </c>
      <c r="AA20" s="146">
        <f t="shared" si="0"/>
        <v>0</v>
      </c>
      <c r="AB20" s="55">
        <f>SUM(AB5:AB19)</f>
        <v>0</v>
      </c>
      <c r="AC20" s="55">
        <f t="shared" ref="AC20:AJ20" si="1">SUM(AC5:AC19)</f>
        <v>0</v>
      </c>
      <c r="AD20" s="55">
        <f t="shared" si="1"/>
        <v>0</v>
      </c>
      <c r="AE20" s="55">
        <f t="shared" si="1"/>
        <v>0</v>
      </c>
      <c r="AF20" s="55">
        <f t="shared" si="1"/>
        <v>0</v>
      </c>
      <c r="AG20" s="55">
        <f t="shared" si="1"/>
        <v>0</v>
      </c>
      <c r="AH20" s="55">
        <f t="shared" si="1"/>
        <v>0</v>
      </c>
      <c r="AI20" s="55">
        <f t="shared" si="1"/>
        <v>0</v>
      </c>
      <c r="AJ20" s="55">
        <f t="shared" si="1"/>
        <v>0</v>
      </c>
    </row>
    <row r="21" spans="1:36" hidden="1" x14ac:dyDescent="0.3">
      <c r="A21" s="75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2"/>
      <c r="AB21" s="47"/>
      <c r="AC21" s="47"/>
      <c r="AD21" s="47"/>
      <c r="AE21" s="47"/>
      <c r="AF21" s="85"/>
      <c r="AG21" s="85"/>
      <c r="AH21" s="85"/>
      <c r="AI21" s="85"/>
      <c r="AJ21" s="85"/>
    </row>
    <row r="22" spans="1:36" x14ac:dyDescent="0.3">
      <c r="A22" s="78" t="s">
        <v>87</v>
      </c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86"/>
      <c r="AG22" s="86"/>
      <c r="AH22" s="86"/>
      <c r="AI22" s="86"/>
      <c r="AJ22" s="86"/>
    </row>
    <row r="23" spans="1:36" ht="18" x14ac:dyDescent="0.35">
      <c r="A23" s="57" t="s">
        <v>162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40"/>
      <c r="AB23" s="31"/>
      <c r="AC23" s="31"/>
      <c r="AD23" s="31"/>
      <c r="AE23" s="31"/>
      <c r="AF23" s="31"/>
      <c r="AG23" s="31"/>
      <c r="AH23" s="31"/>
      <c r="AI23" s="31"/>
      <c r="AJ23" s="31"/>
    </row>
  </sheetData>
  <mergeCells count="2">
    <mergeCell ref="A1:A2"/>
    <mergeCell ref="B1:Z2"/>
  </mergeCells>
  <pageMargins left="0.70866141732283472" right="0.70866141732283472" top="0.74803149606299213" bottom="0.74803149606299213" header="0.31496062992125984" footer="0.31496062992125984"/>
  <pageSetup paperSize="9" scale="8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AE36"/>
  <sheetViews>
    <sheetView showZeros="0" zoomScale="115" zoomScaleNormal="115" workbookViewId="0">
      <pane ySplit="2" topLeftCell="A16" activePane="bottomLeft" state="frozen"/>
      <selection pane="bottomLeft" activeCell="AD26" sqref="AD26"/>
    </sheetView>
  </sheetViews>
  <sheetFormatPr defaultColWidth="3.77734375" defaultRowHeight="14.4" x14ac:dyDescent="0.3"/>
  <cols>
    <col min="1" max="1" width="12.33203125" customWidth="1"/>
    <col min="2" max="3" width="4.77734375" customWidth="1"/>
    <col min="5" max="5" width="4" bestFit="1" customWidth="1"/>
    <col min="13" max="13" width="4.21875" customWidth="1"/>
    <col min="25" max="25" width="4.5546875" customWidth="1"/>
    <col min="30" max="31" width="8.77734375" customWidth="1"/>
    <col min="32" max="32" width="3.5546875" customWidth="1"/>
    <col min="33" max="33" width="3.6640625" customWidth="1"/>
  </cols>
  <sheetData>
    <row r="1" spans="1:31" x14ac:dyDescent="0.3">
      <c r="A1" s="208">
        <f>Итого!C2</f>
        <v>44171</v>
      </c>
    </row>
    <row r="2" spans="1:31" ht="52.2" customHeight="1" thickBot="1" x14ac:dyDescent="0.35">
      <c r="A2" s="250"/>
      <c r="B2" s="196" t="s">
        <v>25</v>
      </c>
      <c r="C2" s="196" t="s">
        <v>26</v>
      </c>
      <c r="D2" s="196" t="s">
        <v>10</v>
      </c>
      <c r="E2" s="196" t="s">
        <v>176</v>
      </c>
      <c r="F2" s="196" t="s">
        <v>177</v>
      </c>
      <c r="G2" s="196" t="s">
        <v>27</v>
      </c>
      <c r="H2" s="196" t="s">
        <v>178</v>
      </c>
      <c r="I2" s="196" t="s">
        <v>12</v>
      </c>
      <c r="J2" s="196" t="s">
        <v>179</v>
      </c>
      <c r="K2" s="196" t="s">
        <v>29</v>
      </c>
      <c r="L2" s="196" t="s">
        <v>180</v>
      </c>
      <c r="M2" s="196" t="s">
        <v>181</v>
      </c>
      <c r="N2" s="196" t="s">
        <v>182</v>
      </c>
      <c r="O2" s="196" t="s">
        <v>32</v>
      </c>
      <c r="P2" s="196" t="s">
        <v>33</v>
      </c>
      <c r="Q2" s="196" t="s">
        <v>34</v>
      </c>
      <c r="R2" s="196" t="s">
        <v>35</v>
      </c>
      <c r="S2" s="196" t="s">
        <v>36</v>
      </c>
      <c r="T2" s="196" t="s">
        <v>183</v>
      </c>
      <c r="U2" s="196" t="s">
        <v>19</v>
      </c>
      <c r="V2" s="196" t="s">
        <v>199</v>
      </c>
      <c r="W2" s="197" t="s">
        <v>184</v>
      </c>
      <c r="X2" s="197" t="s">
        <v>185</v>
      </c>
      <c r="Y2" s="197" t="s">
        <v>198</v>
      </c>
      <c r="Z2" s="197" t="s">
        <v>20</v>
      </c>
      <c r="AA2" s="197" t="s">
        <v>197</v>
      </c>
      <c r="AB2" s="197"/>
      <c r="AC2" s="197"/>
      <c r="AD2" s="197" t="s">
        <v>186</v>
      </c>
      <c r="AE2" s="198" t="s">
        <v>187</v>
      </c>
    </row>
    <row r="3" spans="1:31" x14ac:dyDescent="0.3">
      <c r="A3" s="251"/>
      <c r="B3" s="168">
        <v>23</v>
      </c>
      <c r="C3" s="168">
        <v>23</v>
      </c>
      <c r="D3" s="168">
        <v>24</v>
      </c>
      <c r="E3" s="168">
        <v>23</v>
      </c>
      <c r="F3" s="168">
        <v>12</v>
      </c>
      <c r="G3" s="168">
        <v>14</v>
      </c>
      <c r="H3" s="168">
        <v>22</v>
      </c>
      <c r="I3" s="168">
        <v>21</v>
      </c>
      <c r="J3" s="168">
        <v>23</v>
      </c>
      <c r="K3" s="168">
        <v>15</v>
      </c>
      <c r="L3" s="168">
        <v>23</v>
      </c>
      <c r="M3" s="168">
        <v>25</v>
      </c>
      <c r="N3" s="168">
        <v>13</v>
      </c>
      <c r="O3" s="168">
        <v>25</v>
      </c>
      <c r="P3" s="168">
        <v>25</v>
      </c>
      <c r="Q3" s="168">
        <v>23</v>
      </c>
      <c r="R3" s="168">
        <v>15</v>
      </c>
      <c r="S3" s="168">
        <v>12</v>
      </c>
      <c r="T3" s="168">
        <v>14</v>
      </c>
      <c r="U3" s="168">
        <v>20</v>
      </c>
      <c r="V3" s="168">
        <v>12</v>
      </c>
      <c r="W3" s="168">
        <v>16</v>
      </c>
      <c r="X3" s="168">
        <v>19</v>
      </c>
      <c r="Y3" s="168">
        <v>24</v>
      </c>
      <c r="Z3" s="168">
        <v>25</v>
      </c>
      <c r="AA3" s="168">
        <v>13</v>
      </c>
      <c r="AB3" s="177"/>
      <c r="AC3" s="177"/>
      <c r="AD3" s="177"/>
      <c r="AE3" s="199"/>
    </row>
    <row r="4" spans="1:31" ht="64.8" customHeight="1" x14ac:dyDescent="0.3">
      <c r="A4" s="252"/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2"/>
      <c r="AC4" s="202"/>
      <c r="AD4" s="194"/>
      <c r="AE4" s="200"/>
    </row>
    <row r="5" spans="1:31" x14ac:dyDescent="0.3">
      <c r="A5" s="195"/>
      <c r="B5" s="189">
        <f>Итого!K6</f>
        <v>1540</v>
      </c>
      <c r="C5" s="189">
        <f>Итого!K7</f>
        <v>643</v>
      </c>
      <c r="D5" s="189">
        <f>Итого!K9</f>
        <v>24</v>
      </c>
      <c r="E5" s="189">
        <f>Итого!K8</f>
        <v>32</v>
      </c>
      <c r="F5" s="189">
        <f>Итого!K10</f>
        <v>48</v>
      </c>
      <c r="G5" s="189">
        <f>Итого!K11</f>
        <v>82</v>
      </c>
      <c r="H5" s="189">
        <f>Итого!K12</f>
        <v>48</v>
      </c>
      <c r="I5" s="189">
        <f>Итого!K13</f>
        <v>37</v>
      </c>
      <c r="J5" s="189">
        <f>Итого!K15</f>
        <v>36</v>
      </c>
      <c r="K5" s="189">
        <f>Итого!K16</f>
        <v>162</v>
      </c>
      <c r="L5" s="189">
        <f>Итого!K17</f>
        <v>216</v>
      </c>
      <c r="M5" s="189">
        <f>Итого!K19</f>
        <v>864</v>
      </c>
      <c r="N5" s="189">
        <f>Итого!K20</f>
        <v>32</v>
      </c>
      <c r="O5" s="189">
        <f>Итого!K22</f>
        <v>31</v>
      </c>
      <c r="P5" s="189">
        <f>Итого!K23</f>
        <v>76</v>
      </c>
      <c r="Q5" s="189">
        <f>Итого!K24</f>
        <v>152</v>
      </c>
      <c r="R5" s="189">
        <f>Итого!K25</f>
        <v>87</v>
      </c>
      <c r="S5" s="189">
        <f>Итого!K26</f>
        <v>31</v>
      </c>
      <c r="T5" s="189">
        <f>Итого!K5</f>
        <v>1550</v>
      </c>
      <c r="U5" s="189">
        <f>Итого!K28</f>
        <v>45</v>
      </c>
      <c r="V5" s="189">
        <f>Итого!K30</f>
        <v>67</v>
      </c>
      <c r="W5" s="189">
        <f>Итого!K31+Итого!K32</f>
        <v>73</v>
      </c>
      <c r="X5" s="189">
        <f>Итого!K33</f>
        <v>43</v>
      </c>
      <c r="Y5" s="189">
        <f>Итого!K18</f>
        <v>642</v>
      </c>
      <c r="Z5" s="189">
        <f>Итого!K29</f>
        <v>48</v>
      </c>
      <c r="AA5" s="189">
        <f>Итого!K27</f>
        <v>69</v>
      </c>
      <c r="AB5" s="188"/>
      <c r="AC5" s="188"/>
      <c r="AD5" s="171"/>
      <c r="AE5" s="171"/>
    </row>
    <row r="6" spans="1:31" x14ac:dyDescent="0.3">
      <c r="A6" s="195" t="s">
        <v>187</v>
      </c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3"/>
      <c r="AC6" s="183"/>
      <c r="AD6" s="171"/>
      <c r="AE6" s="171"/>
    </row>
    <row r="7" spans="1:31" x14ac:dyDescent="0.3">
      <c r="A7" s="195" t="s">
        <v>194</v>
      </c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3"/>
      <c r="AC7" s="183"/>
      <c r="AD7" s="171"/>
      <c r="AE7" s="171"/>
    </row>
    <row r="8" spans="1:31" x14ac:dyDescent="0.3">
      <c r="A8" s="195" t="s">
        <v>195</v>
      </c>
      <c r="B8" s="184"/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3"/>
      <c r="AC8" s="183"/>
      <c r="AD8" s="171"/>
      <c r="AE8" s="171"/>
    </row>
    <row r="9" spans="1:31" ht="15" thickBot="1" x14ac:dyDescent="0.35">
      <c r="A9" s="204" t="s">
        <v>196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6"/>
      <c r="AC9" s="206"/>
      <c r="AD9" s="207"/>
      <c r="AE9" s="207"/>
    </row>
    <row r="10" spans="1:31" ht="15" customHeight="1" x14ac:dyDescent="0.3">
      <c r="A10" s="203" t="s">
        <v>165</v>
      </c>
      <c r="B10" s="188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8"/>
      <c r="AC10" s="188"/>
      <c r="AD10" s="173">
        <f>B10*цены!B3+C10*цены!C3</f>
        <v>0</v>
      </c>
      <c r="AE10" s="173">
        <f>(B10*$B$3+C10*$C$3)-AD10</f>
        <v>0</v>
      </c>
    </row>
    <row r="11" spans="1:31" ht="15" customHeight="1" x14ac:dyDescent="0.3">
      <c r="A11" s="181" t="s">
        <v>166</v>
      </c>
      <c r="B11" s="183"/>
      <c r="C11" s="185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3"/>
      <c r="AC11" s="183"/>
      <c r="AD11" s="171">
        <f>B11*цены!B2+C11*цены!C2</f>
        <v>0</v>
      </c>
      <c r="AE11" s="171">
        <f>(B11*$B$3+C11*$C$3)-AD11</f>
        <v>0</v>
      </c>
    </row>
    <row r="12" spans="1:31" ht="15" customHeight="1" x14ac:dyDescent="0.3">
      <c r="A12" s="175" t="s">
        <v>167</v>
      </c>
      <c r="B12" s="183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3"/>
      <c r="AC12" s="183"/>
      <c r="AD12" s="171">
        <f>B12*цены!B3+C12*цены!C3</f>
        <v>0</v>
      </c>
      <c r="AE12" s="171">
        <f t="shared" ref="AE12:AE14" si="0">(B12*$B$3+C12*$C$3)-AD12</f>
        <v>0</v>
      </c>
    </row>
    <row r="13" spans="1:31" ht="15" customHeight="1" x14ac:dyDescent="0.3">
      <c r="A13" s="175" t="s">
        <v>168</v>
      </c>
      <c r="B13" s="183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3"/>
      <c r="AC13" s="183"/>
      <c r="AD13" s="171">
        <f>B13*цены!B3+C13*цены!C3</f>
        <v>0</v>
      </c>
      <c r="AE13" s="171">
        <f t="shared" si="0"/>
        <v>0</v>
      </c>
    </row>
    <row r="14" spans="1:31" s="170" customFormat="1" ht="15" customHeight="1" thickBot="1" x14ac:dyDescent="0.35">
      <c r="A14" s="178" t="s">
        <v>169</v>
      </c>
      <c r="B14" s="186"/>
      <c r="C14" s="187"/>
      <c r="D14" s="187"/>
      <c r="E14" s="187"/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6"/>
      <c r="AC14" s="186"/>
      <c r="AD14" s="172">
        <f>B14*цены!B2+C14*цены!C2</f>
        <v>0</v>
      </c>
      <c r="AE14" s="171">
        <f t="shared" si="0"/>
        <v>0</v>
      </c>
    </row>
    <row r="15" spans="1:31" ht="15" customHeight="1" thickTop="1" x14ac:dyDescent="0.3">
      <c r="A15" s="179"/>
      <c r="B15" s="188"/>
      <c r="C15" s="189"/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  <c r="Y15" s="189"/>
      <c r="Z15" s="189"/>
      <c r="AA15" s="189"/>
      <c r="AB15" s="188"/>
      <c r="AC15" s="188"/>
      <c r="AD15" s="173"/>
      <c r="AE15" s="173"/>
    </row>
    <row r="16" spans="1:31" ht="15" customHeight="1" x14ac:dyDescent="0.3">
      <c r="A16" s="180" t="s">
        <v>170</v>
      </c>
      <c r="B16" s="183">
        <f>Широков!C24</f>
        <v>0</v>
      </c>
      <c r="C16" s="184">
        <f>Широков!D24</f>
        <v>0</v>
      </c>
      <c r="D16" s="184">
        <f>Широков!F24</f>
        <v>0</v>
      </c>
      <c r="E16" s="184">
        <f>Широков!E24</f>
        <v>0</v>
      </c>
      <c r="F16" s="184">
        <f>Широков!G24</f>
        <v>0</v>
      </c>
      <c r="G16" s="184">
        <f>Широков!H24</f>
        <v>0</v>
      </c>
      <c r="H16" s="184">
        <f>Широков!I24</f>
        <v>0</v>
      </c>
      <c r="I16" s="184">
        <f>Широков!J24</f>
        <v>0</v>
      </c>
      <c r="J16" s="184">
        <f>Широков!L24</f>
        <v>0</v>
      </c>
      <c r="K16" s="184">
        <f>Широков!M24</f>
        <v>0</v>
      </c>
      <c r="L16" s="184">
        <f>Широков!N24</f>
        <v>0</v>
      </c>
      <c r="M16" s="184">
        <f>Широков!P24</f>
        <v>0</v>
      </c>
      <c r="N16" s="184">
        <f>Широков!Q24</f>
        <v>0</v>
      </c>
      <c r="O16" s="184">
        <f>Широков!S24</f>
        <v>0</v>
      </c>
      <c r="P16" s="184">
        <f>Широков!T24</f>
        <v>0</v>
      </c>
      <c r="Q16" s="184">
        <f>Широков!U24</f>
        <v>0</v>
      </c>
      <c r="R16" s="184">
        <f>Широков!V24</f>
        <v>0</v>
      </c>
      <c r="S16" s="184">
        <f>Широков!W24</f>
        <v>0</v>
      </c>
      <c r="T16" s="184">
        <f>Широков!B24</f>
        <v>0</v>
      </c>
      <c r="U16" s="184">
        <f>Широков!Y24</f>
        <v>0</v>
      </c>
      <c r="V16" s="184">
        <f>Широков!AA24</f>
        <v>0</v>
      </c>
      <c r="W16" s="184">
        <f>Широков!AB24+Широков!AC24</f>
        <v>0</v>
      </c>
      <c r="X16" s="184">
        <f>Широков!AD24</f>
        <v>0</v>
      </c>
      <c r="Y16" s="184">
        <f>Широков!O24</f>
        <v>0</v>
      </c>
      <c r="Z16" s="184">
        <f>Широков!Z24</f>
        <v>0</v>
      </c>
      <c r="AA16" s="184">
        <f>Широков!X24</f>
        <v>0</v>
      </c>
      <c r="AB16" s="183"/>
      <c r="AC16" s="183"/>
      <c r="AD16" s="171">
        <f>Широков!AL24</f>
        <v>0</v>
      </c>
      <c r="AE16" s="171"/>
    </row>
    <row r="17" spans="1:31" ht="15" customHeight="1" x14ac:dyDescent="0.3">
      <c r="A17" s="192" t="s">
        <v>190</v>
      </c>
      <c r="B17" s="183">
        <f>Широков!C25</f>
        <v>0</v>
      </c>
      <c r="C17" s="184">
        <f>Широков!D25</f>
        <v>0</v>
      </c>
      <c r="D17" s="184">
        <f>Широков!F25</f>
        <v>0</v>
      </c>
      <c r="E17" s="184">
        <f>Широков!E25</f>
        <v>0</v>
      </c>
      <c r="F17" s="184">
        <f>Широков!G25</f>
        <v>0</v>
      </c>
      <c r="G17" s="184">
        <f>Широков!H25</f>
        <v>0</v>
      </c>
      <c r="H17" s="184">
        <f>Широков!I25</f>
        <v>0</v>
      </c>
      <c r="I17" s="184">
        <f>Широков!J25</f>
        <v>0</v>
      </c>
      <c r="J17" s="184">
        <f>Широков!L25</f>
        <v>0</v>
      </c>
      <c r="K17" s="184">
        <f>Широков!M25</f>
        <v>0</v>
      </c>
      <c r="L17" s="184">
        <f>Широков!N25</f>
        <v>0</v>
      </c>
      <c r="M17" s="184">
        <f>Широков!P25</f>
        <v>0</v>
      </c>
      <c r="N17" s="184">
        <f>Широков!Q25</f>
        <v>0</v>
      </c>
      <c r="O17" s="184">
        <f>Широков!S25</f>
        <v>0</v>
      </c>
      <c r="P17" s="184">
        <f>Широков!T25</f>
        <v>0</v>
      </c>
      <c r="Q17" s="184">
        <f>Широков!U25</f>
        <v>0</v>
      </c>
      <c r="R17" s="184">
        <f>Широков!V25</f>
        <v>0</v>
      </c>
      <c r="S17" s="184">
        <f>Широков!W25</f>
        <v>0</v>
      </c>
      <c r="T17" s="184">
        <f>Широков!B25</f>
        <v>0</v>
      </c>
      <c r="U17" s="184">
        <f>Широков!Y25</f>
        <v>0</v>
      </c>
      <c r="V17" s="184">
        <f>Широков!AA25</f>
        <v>0</v>
      </c>
      <c r="W17" s="184">
        <f>Широков!AB25+Широков!AC25</f>
        <v>0</v>
      </c>
      <c r="X17" s="184">
        <f>Широков!AD25</f>
        <v>0</v>
      </c>
      <c r="Y17" s="184">
        <f>Широков!O25</f>
        <v>0</v>
      </c>
      <c r="Z17" s="184">
        <f>Широков!Z25</f>
        <v>0</v>
      </c>
      <c r="AA17" s="184">
        <f>Широков!X25</f>
        <v>0</v>
      </c>
      <c r="AB17" s="183"/>
      <c r="AC17" s="183"/>
      <c r="AD17" s="171"/>
      <c r="AE17" s="171"/>
    </row>
    <row r="18" spans="1:31" ht="15" customHeight="1" x14ac:dyDescent="0.3">
      <c r="A18" s="175" t="s">
        <v>64</v>
      </c>
      <c r="B18" s="183">
        <f>Агафонов!C24</f>
        <v>0</v>
      </c>
      <c r="C18" s="184">
        <f>Агафонов!D24</f>
        <v>0</v>
      </c>
      <c r="D18" s="184">
        <f>Агафонов!F24</f>
        <v>0</v>
      </c>
      <c r="E18" s="184">
        <f>Агафонов!E24</f>
        <v>0</v>
      </c>
      <c r="F18" s="184">
        <f>Агафонов!G24</f>
        <v>0</v>
      </c>
      <c r="G18" s="184">
        <f>Агафонов!H24</f>
        <v>0</v>
      </c>
      <c r="H18" s="184">
        <f>Агафонов!I24</f>
        <v>0</v>
      </c>
      <c r="I18" s="184">
        <f>Агафонов!J24</f>
        <v>0</v>
      </c>
      <c r="J18" s="184">
        <f>Агафонов!L24</f>
        <v>0</v>
      </c>
      <c r="K18" s="184">
        <f>Агафонов!M24</f>
        <v>0</v>
      </c>
      <c r="L18" s="184">
        <f>Агафонов!N24</f>
        <v>0</v>
      </c>
      <c r="M18" s="184">
        <f>Агафонов!P24</f>
        <v>0</v>
      </c>
      <c r="N18" s="184">
        <f>Агафонов!Q24</f>
        <v>0</v>
      </c>
      <c r="O18" s="184">
        <f>Агафонов!S24</f>
        <v>0</v>
      </c>
      <c r="P18" s="184">
        <f>Агафонов!T24</f>
        <v>0</v>
      </c>
      <c r="Q18" s="184">
        <f>Агафонов!U24</f>
        <v>0</v>
      </c>
      <c r="R18" s="184">
        <f>Агафонов!V24</f>
        <v>0</v>
      </c>
      <c r="S18" s="184">
        <f>Агафонов!W24</f>
        <v>0</v>
      </c>
      <c r="T18" s="184">
        <f>Агафонов!B24</f>
        <v>0</v>
      </c>
      <c r="U18" s="184">
        <f>Агафонов!Y24</f>
        <v>0</v>
      </c>
      <c r="V18" s="184">
        <f>Агафонов!AA24</f>
        <v>0</v>
      </c>
      <c r="W18" s="184">
        <f>Агафонов!AB24+Агафонов!AC24</f>
        <v>0</v>
      </c>
      <c r="X18" s="184">
        <f>Агафонов!AD24</f>
        <v>0</v>
      </c>
      <c r="Y18" s="184">
        <f>Агафонов!O24</f>
        <v>0</v>
      </c>
      <c r="Z18" s="184">
        <f>Агафонов!Z24</f>
        <v>0</v>
      </c>
      <c r="AA18" s="184">
        <f>Агафонов!X24</f>
        <v>0</v>
      </c>
      <c r="AB18" s="183"/>
      <c r="AC18" s="183"/>
      <c r="AD18" s="171">
        <f>Агафонов!AJ24</f>
        <v>0</v>
      </c>
      <c r="AE18" s="171"/>
    </row>
    <row r="19" spans="1:31" ht="15" customHeight="1" x14ac:dyDescent="0.3">
      <c r="A19" s="176" t="s">
        <v>191</v>
      </c>
      <c r="B19" s="183">
        <f>Агафонов!C25</f>
        <v>0</v>
      </c>
      <c r="C19" s="184">
        <f>Агафонов!D25</f>
        <v>0</v>
      </c>
      <c r="D19" s="184">
        <f>Агафонов!F25</f>
        <v>0</v>
      </c>
      <c r="E19" s="184">
        <f>Агафонов!E25</f>
        <v>0</v>
      </c>
      <c r="F19" s="184">
        <f>Агафонов!G25</f>
        <v>0</v>
      </c>
      <c r="G19" s="184">
        <f>Агафонов!H25</f>
        <v>0</v>
      </c>
      <c r="H19" s="184">
        <f>Агафонов!I25</f>
        <v>0</v>
      </c>
      <c r="I19" s="184">
        <f>Агафонов!J25</f>
        <v>0</v>
      </c>
      <c r="J19" s="184">
        <f>Агафонов!L25</f>
        <v>0</v>
      </c>
      <c r="K19" s="184">
        <f>Агафонов!M25</f>
        <v>0</v>
      </c>
      <c r="L19" s="184">
        <f>Агафонов!N25</f>
        <v>0</v>
      </c>
      <c r="M19" s="184">
        <f>Агафонов!P25</f>
        <v>0</v>
      </c>
      <c r="N19" s="184">
        <f>Агафонов!Q25</f>
        <v>0</v>
      </c>
      <c r="O19" s="184">
        <f>Агафонов!S25</f>
        <v>0</v>
      </c>
      <c r="P19" s="184">
        <f>Агафонов!T25</f>
        <v>0</v>
      </c>
      <c r="Q19" s="184">
        <f>Агафонов!U25</f>
        <v>0</v>
      </c>
      <c r="R19" s="184">
        <f>Агафонов!V25</f>
        <v>0</v>
      </c>
      <c r="S19" s="184">
        <f>Агафонов!W25</f>
        <v>0</v>
      </c>
      <c r="T19" s="184">
        <f>Агафонов!B25</f>
        <v>0</v>
      </c>
      <c r="U19" s="184">
        <f>Агафонов!Y25</f>
        <v>0</v>
      </c>
      <c r="V19" s="184">
        <f>Агафонов!AA25</f>
        <v>0</v>
      </c>
      <c r="W19" s="184">
        <f>Агафонов!AB25+Агафонов!AC25</f>
        <v>0</v>
      </c>
      <c r="X19" s="184">
        <f>Агафонов!AD25</f>
        <v>0</v>
      </c>
      <c r="Y19" s="184">
        <f>Агафонов!O25</f>
        <v>0</v>
      </c>
      <c r="Z19" s="184">
        <f>Агафонов!Z25</f>
        <v>0</v>
      </c>
      <c r="AA19" s="184">
        <f>Агафонов!X25</f>
        <v>0</v>
      </c>
      <c r="AB19" s="183"/>
      <c r="AC19" s="183"/>
      <c r="AD19" s="171"/>
      <c r="AE19" s="171"/>
    </row>
    <row r="20" spans="1:31" ht="15" customHeight="1" x14ac:dyDescent="0.3">
      <c r="A20" s="180" t="s">
        <v>81</v>
      </c>
      <c r="B20" s="190">
        <f>Емельянов!C17</f>
        <v>0</v>
      </c>
      <c r="C20" s="191">
        <f>Емельянов!D17</f>
        <v>0</v>
      </c>
      <c r="D20" s="191">
        <f>Емельянов!F17</f>
        <v>0</v>
      </c>
      <c r="E20" s="191">
        <f>Емельянов!E17</f>
        <v>0</v>
      </c>
      <c r="F20" s="191">
        <f>Емельянов!G17</f>
        <v>0</v>
      </c>
      <c r="G20" s="191">
        <f>Емельянов!H17</f>
        <v>0</v>
      </c>
      <c r="H20" s="191">
        <f>Емельянов!I17</f>
        <v>0</v>
      </c>
      <c r="I20" s="191">
        <f>Емельянов!J17</f>
        <v>0</v>
      </c>
      <c r="J20" s="191">
        <f>Емельянов!L17</f>
        <v>0</v>
      </c>
      <c r="K20" s="191">
        <f>Емельянов!M17</f>
        <v>0</v>
      </c>
      <c r="L20" s="191">
        <f>Емельянов!N17</f>
        <v>0</v>
      </c>
      <c r="M20" s="191">
        <f>Емельянов!P17</f>
        <v>0</v>
      </c>
      <c r="N20" s="191">
        <f>Емельянов!Q17</f>
        <v>0</v>
      </c>
      <c r="O20" s="191">
        <f>Емельянов!S17</f>
        <v>0</v>
      </c>
      <c r="P20" s="191">
        <f>Емельянов!T17</f>
        <v>0</v>
      </c>
      <c r="Q20" s="191">
        <f>Емельянов!U17</f>
        <v>0</v>
      </c>
      <c r="R20" s="191">
        <f>Емельянов!V17</f>
        <v>0</v>
      </c>
      <c r="S20" s="191">
        <f>Емельянов!W17</f>
        <v>0</v>
      </c>
      <c r="T20" s="191">
        <f>Емельянов!B17</f>
        <v>0</v>
      </c>
      <c r="U20" s="191">
        <f>Емельянов!Y17</f>
        <v>0</v>
      </c>
      <c r="V20" s="191">
        <f>Емельянов!AA17</f>
        <v>0</v>
      </c>
      <c r="W20" s="191">
        <f>Емельянов!AB17+Емельянов!AC17</f>
        <v>0</v>
      </c>
      <c r="X20" s="191">
        <f>Емельянов!AD17</f>
        <v>0</v>
      </c>
      <c r="Y20" s="191">
        <f>Емельянов!O17</f>
        <v>0</v>
      </c>
      <c r="Z20" s="191">
        <f>Емельянов!Z17</f>
        <v>0</v>
      </c>
      <c r="AA20" s="191">
        <f>Емельянов!X17</f>
        <v>0</v>
      </c>
      <c r="AB20" s="190"/>
      <c r="AC20" s="190"/>
      <c r="AD20" s="174">
        <f>Емельянов!AK17</f>
        <v>0</v>
      </c>
      <c r="AE20" s="174"/>
    </row>
    <row r="21" spans="1:31" ht="15" customHeight="1" x14ac:dyDescent="0.3">
      <c r="A21" s="180" t="s">
        <v>171</v>
      </c>
      <c r="B21" s="190">
        <f>'Емельянов В'!C19</f>
        <v>0</v>
      </c>
      <c r="C21" s="191">
        <f>'Емельянов В'!D19</f>
        <v>0</v>
      </c>
      <c r="D21" s="191">
        <f>'Емельянов В'!F19</f>
        <v>0</v>
      </c>
      <c r="E21" s="191">
        <f>'Емельянов В'!E19</f>
        <v>0</v>
      </c>
      <c r="F21" s="191">
        <f>'Емельянов В'!G19</f>
        <v>0</v>
      </c>
      <c r="G21" s="191">
        <f>'Емельянов В'!H19</f>
        <v>0</v>
      </c>
      <c r="H21" s="191">
        <f>'Емельянов В'!I19</f>
        <v>0</v>
      </c>
      <c r="I21" s="191">
        <f>'Емельянов В'!J19</f>
        <v>0</v>
      </c>
      <c r="J21" s="191">
        <f>'Емельянов В'!L19</f>
        <v>0</v>
      </c>
      <c r="K21" s="191">
        <f>'Емельянов В'!M19</f>
        <v>0</v>
      </c>
      <c r="L21" s="191">
        <f>'Емельянов В'!N19</f>
        <v>0</v>
      </c>
      <c r="M21" s="191">
        <f>'Емельянов В'!P19</f>
        <v>0</v>
      </c>
      <c r="N21" s="191">
        <f>'Емельянов В'!Q19</f>
        <v>0</v>
      </c>
      <c r="O21" s="191">
        <f>'Емельянов В'!S19</f>
        <v>0</v>
      </c>
      <c r="P21" s="191">
        <f>'Емельянов В'!T19</f>
        <v>0</v>
      </c>
      <c r="Q21" s="191">
        <f>'Емельянов В'!U19</f>
        <v>0</v>
      </c>
      <c r="R21" s="191">
        <f>'Емельянов В'!V19</f>
        <v>0</v>
      </c>
      <c r="S21" s="191">
        <f>'Емельянов В'!W19</f>
        <v>0</v>
      </c>
      <c r="T21" s="191">
        <f>'Емельянов В'!B19</f>
        <v>0</v>
      </c>
      <c r="U21" s="191">
        <f>'Емельянов В'!Y19</f>
        <v>0</v>
      </c>
      <c r="V21" s="191">
        <f>'Емельянов В'!AA19</f>
        <v>0</v>
      </c>
      <c r="W21" s="191">
        <f>'Емельянов В'!AB19+'Емельянов В'!AC19</f>
        <v>0</v>
      </c>
      <c r="X21" s="191">
        <f>'Емельянов В'!AD19</f>
        <v>0</v>
      </c>
      <c r="Y21" s="191">
        <f>'Емельянов В'!O19</f>
        <v>0</v>
      </c>
      <c r="Z21" s="191">
        <f>'Емельянов В'!Z19</f>
        <v>0</v>
      </c>
      <c r="AA21" s="191">
        <f>'Емельянов В'!X19</f>
        <v>0</v>
      </c>
      <c r="AB21" s="190"/>
      <c r="AC21" s="190"/>
      <c r="AD21" s="174">
        <f>'Емельянов В'!AJ19</f>
        <v>0</v>
      </c>
      <c r="AE21" s="174"/>
    </row>
    <row r="22" spans="1:31" ht="15" customHeight="1" x14ac:dyDescent="0.3">
      <c r="A22" s="180" t="s">
        <v>93</v>
      </c>
      <c r="B22" s="190">
        <f>Икрамов!C16</f>
        <v>0</v>
      </c>
      <c r="C22" s="191">
        <f>Икрамов!D16</f>
        <v>0</v>
      </c>
      <c r="D22" s="191">
        <f>Икрамов!F16</f>
        <v>0</v>
      </c>
      <c r="E22" s="191">
        <f>Икрамов!E16</f>
        <v>0</v>
      </c>
      <c r="F22" s="191">
        <f>Икрамов!G16</f>
        <v>0</v>
      </c>
      <c r="G22" s="191">
        <f>Икрамов!H16</f>
        <v>0</v>
      </c>
      <c r="H22" s="191">
        <f>Икрамов!I16</f>
        <v>0</v>
      </c>
      <c r="I22" s="191">
        <f>Икрамов!J16</f>
        <v>0</v>
      </c>
      <c r="J22" s="191">
        <f>Икрамов!L16</f>
        <v>0</v>
      </c>
      <c r="K22" s="191">
        <f>Икрамов!M16</f>
        <v>0</v>
      </c>
      <c r="L22" s="191">
        <f>Икрамов!N16</f>
        <v>0</v>
      </c>
      <c r="M22" s="191">
        <f>Икрамов!P16</f>
        <v>0</v>
      </c>
      <c r="N22" s="191">
        <f>Икрамов!Q16</f>
        <v>0</v>
      </c>
      <c r="O22" s="191">
        <f>Икрамов!S16</f>
        <v>0</v>
      </c>
      <c r="P22" s="191">
        <f>Икрамов!T16</f>
        <v>0</v>
      </c>
      <c r="Q22" s="191">
        <f>Икрамов!U16</f>
        <v>0</v>
      </c>
      <c r="R22" s="191">
        <f>Икрамов!V16</f>
        <v>0</v>
      </c>
      <c r="S22" s="191">
        <f>Икрамов!W16</f>
        <v>0</v>
      </c>
      <c r="T22" s="191">
        <f>Икрамов!B16</f>
        <v>0</v>
      </c>
      <c r="U22" s="191">
        <f>Икрамов!Y16</f>
        <v>0</v>
      </c>
      <c r="V22" s="191">
        <f>Икрамов!AA16</f>
        <v>0</v>
      </c>
      <c r="W22" s="191">
        <f>Икрамов!AB16+Икрамов!AC16</f>
        <v>0</v>
      </c>
      <c r="X22" s="191">
        <f>Икрамов!AD16</f>
        <v>0</v>
      </c>
      <c r="Y22" s="191">
        <f>Икрамов!O16</f>
        <v>0</v>
      </c>
      <c r="Z22" s="191">
        <f>Икрамов!Z16</f>
        <v>0</v>
      </c>
      <c r="AA22" s="191">
        <f>Икрамов!X16</f>
        <v>0</v>
      </c>
      <c r="AB22" s="190"/>
      <c r="AC22" s="190"/>
      <c r="AD22" s="174">
        <f>Икрамов!AL16</f>
        <v>0</v>
      </c>
      <c r="AE22" s="174"/>
    </row>
    <row r="23" spans="1:31" ht="15" customHeight="1" x14ac:dyDescent="0.3">
      <c r="A23" s="180" t="s">
        <v>139</v>
      </c>
      <c r="B23" s="190">
        <f>БАНК!C7</f>
        <v>0</v>
      </c>
      <c r="C23" s="191">
        <f>БАНК!D7</f>
        <v>0</v>
      </c>
      <c r="D23" s="191">
        <f>БАНК!F7</f>
        <v>0</v>
      </c>
      <c r="E23" s="191">
        <f>БАНК!E7</f>
        <v>0</v>
      </c>
      <c r="F23" s="191">
        <f>БАНК!G7</f>
        <v>0</v>
      </c>
      <c r="G23" s="191">
        <f>БАНК!H7</f>
        <v>0</v>
      </c>
      <c r="H23" s="191">
        <f>БАНК!I7</f>
        <v>0</v>
      </c>
      <c r="I23" s="191">
        <f>БАНК!J7</f>
        <v>0</v>
      </c>
      <c r="J23" s="191">
        <f>БАНК!L7</f>
        <v>0</v>
      </c>
      <c r="K23" s="191">
        <f>БАНК!M7</f>
        <v>0</v>
      </c>
      <c r="L23" s="191">
        <f>БАНК!N7</f>
        <v>0</v>
      </c>
      <c r="M23" s="191">
        <f>БАНК!P7</f>
        <v>0</v>
      </c>
      <c r="N23" s="191">
        <f>БАНК!Q7</f>
        <v>0</v>
      </c>
      <c r="O23" s="191">
        <f>БАНК!S7</f>
        <v>0</v>
      </c>
      <c r="P23" s="191">
        <f>БАНК!T7</f>
        <v>0</v>
      </c>
      <c r="Q23" s="191">
        <f>БАНК!U7</f>
        <v>0</v>
      </c>
      <c r="R23" s="191">
        <f>БАНК!V7</f>
        <v>0</v>
      </c>
      <c r="S23" s="191">
        <f>БАНК!W7</f>
        <v>0</v>
      </c>
      <c r="T23" s="191">
        <f>БАНК!B7</f>
        <v>0</v>
      </c>
      <c r="U23" s="191">
        <f>БАНК!Y7</f>
        <v>0</v>
      </c>
      <c r="V23" s="191">
        <f>БАНК!AA7</f>
        <v>0</v>
      </c>
      <c r="W23" s="191">
        <f>БАНК!AB7+БАНК!AC7</f>
        <v>0</v>
      </c>
      <c r="X23" s="191">
        <f>БАНК!AD7</f>
        <v>0</v>
      </c>
      <c r="Y23" s="191">
        <f>БАНК!O7</f>
        <v>0</v>
      </c>
      <c r="Z23" s="191">
        <f>БАНК!Z7</f>
        <v>0</v>
      </c>
      <c r="AA23" s="191">
        <f>БАНК!X7</f>
        <v>0</v>
      </c>
      <c r="AB23" s="190"/>
      <c r="AC23" s="190"/>
      <c r="AD23" s="174">
        <f>БАНК!AI7</f>
        <v>0</v>
      </c>
      <c r="AE23" s="174"/>
    </row>
    <row r="24" spans="1:31" ht="15" customHeight="1" x14ac:dyDescent="0.3">
      <c r="A24" s="192" t="s">
        <v>192</v>
      </c>
      <c r="B24" s="193">
        <f>БАНК!C7</f>
        <v>0</v>
      </c>
      <c r="C24" s="191">
        <f>БАНК!D7</f>
        <v>0</v>
      </c>
      <c r="D24" s="191">
        <f>БАНК!F7</f>
        <v>0</v>
      </c>
      <c r="E24" s="191">
        <f>БАНК!E7</f>
        <v>0</v>
      </c>
      <c r="F24" s="191">
        <f>БАНК!G7</f>
        <v>0</v>
      </c>
      <c r="G24" s="191">
        <f>БАНК!H7</f>
        <v>0</v>
      </c>
      <c r="H24" s="191">
        <f>БАНК!I7</f>
        <v>0</v>
      </c>
      <c r="I24" s="191">
        <f>БАНК!J7</f>
        <v>0</v>
      </c>
      <c r="J24" s="191">
        <f>БАНК!L7</f>
        <v>0</v>
      </c>
      <c r="K24" s="191">
        <f>БАНК!M7</f>
        <v>0</v>
      </c>
      <c r="L24" s="191">
        <f>БАНК!N7</f>
        <v>0</v>
      </c>
      <c r="M24" s="191">
        <f>БАНК!P7</f>
        <v>0</v>
      </c>
      <c r="N24" s="191">
        <f>БАНК!Q7</f>
        <v>0</v>
      </c>
      <c r="O24" s="191">
        <f>БАНК!S7</f>
        <v>0</v>
      </c>
      <c r="P24" s="191">
        <f>БАНК!T7</f>
        <v>0</v>
      </c>
      <c r="Q24" s="191">
        <f>БАНК!U7</f>
        <v>0</v>
      </c>
      <c r="R24" s="191">
        <f>БАНК!V7</f>
        <v>0</v>
      </c>
      <c r="S24" s="191">
        <f>БАНК!W7</f>
        <v>0</v>
      </c>
      <c r="T24" s="191">
        <f>БАНК!B7</f>
        <v>0</v>
      </c>
      <c r="U24" s="191">
        <f>БАНК!Y7</f>
        <v>0</v>
      </c>
      <c r="V24" s="191">
        <f>БАНК!AA7</f>
        <v>0</v>
      </c>
      <c r="W24" s="191">
        <f>БАНК!AB7+БАНК!AC7</f>
        <v>0</v>
      </c>
      <c r="X24" s="191">
        <f>БАНК!AD7</f>
        <v>0</v>
      </c>
      <c r="Y24" s="191">
        <f>БАНК!O7</f>
        <v>0</v>
      </c>
      <c r="Z24" s="191">
        <f>БАНК!Z7</f>
        <v>0</v>
      </c>
      <c r="AA24" s="191">
        <f>БАНК!X7</f>
        <v>0</v>
      </c>
      <c r="AB24" s="190"/>
      <c r="AC24" s="190"/>
      <c r="AD24" s="174"/>
      <c r="AE24" s="174"/>
    </row>
    <row r="25" spans="1:31" ht="15" customHeight="1" x14ac:dyDescent="0.3">
      <c r="A25" s="180" t="s">
        <v>172</v>
      </c>
      <c r="B25" s="190"/>
      <c r="C25" s="191">
        <f>БАНК!D10</f>
        <v>0</v>
      </c>
      <c r="D25" s="191"/>
      <c r="E25" s="191"/>
      <c r="F25" s="191"/>
      <c r="G25" s="191">
        <f>БАНК!H10</f>
        <v>0</v>
      </c>
      <c r="H25" s="191"/>
      <c r="I25" s="191"/>
      <c r="J25" s="191"/>
      <c r="K25" s="191"/>
      <c r="L25" s="191"/>
      <c r="M25" s="191"/>
      <c r="N25" s="191">
        <f>БАНК!Q10</f>
        <v>0</v>
      </c>
      <c r="O25" s="191"/>
      <c r="P25" s="191">
        <f>БАНК!T10</f>
        <v>0</v>
      </c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0"/>
      <c r="AC25" s="190"/>
      <c r="AD25" s="174">
        <f>C25*цены!B9+P25*цены!C9+G25*цены!D9+N25*цены!E9</f>
        <v>0</v>
      </c>
      <c r="AE25" s="174">
        <f>(C25*C3+G25*G3+N25*N3+P25*P3)-AD25</f>
        <v>0</v>
      </c>
    </row>
    <row r="26" spans="1:31" ht="15" customHeight="1" x14ac:dyDescent="0.3">
      <c r="A26" s="180" t="s">
        <v>173</v>
      </c>
      <c r="B26" s="190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>
        <f>стройки!H17</f>
        <v>0</v>
      </c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0"/>
      <c r="AC26" s="190"/>
      <c r="AD26" s="174">
        <f>O26*22</f>
        <v>0</v>
      </c>
      <c r="AE26" s="174">
        <f>O26*O3-AD26</f>
        <v>0</v>
      </c>
    </row>
    <row r="27" spans="1:31" ht="15" customHeight="1" x14ac:dyDescent="0.3">
      <c r="A27" s="180" t="s">
        <v>174</v>
      </c>
      <c r="B27" s="190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0"/>
      <c r="AC27" s="190"/>
      <c r="AD27" s="174"/>
      <c r="AE27" s="174"/>
    </row>
    <row r="28" spans="1:31" ht="15" customHeight="1" x14ac:dyDescent="0.3">
      <c r="A28" s="180" t="s">
        <v>188</v>
      </c>
      <c r="B28" s="190">
        <f>БАНК!C8</f>
        <v>0</v>
      </c>
      <c r="C28" s="191">
        <f>БАНК!D8</f>
        <v>0</v>
      </c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0"/>
      <c r="AC28" s="190"/>
      <c r="AD28" s="174">
        <f>БАНК!AI8</f>
        <v>0</v>
      </c>
      <c r="AE28" s="174"/>
    </row>
    <row r="29" spans="1:31" ht="15" customHeight="1" x14ac:dyDescent="0.3">
      <c r="A29" s="180" t="s">
        <v>189</v>
      </c>
      <c r="B29" s="190">
        <f>БАНК!C9</f>
        <v>0</v>
      </c>
      <c r="C29" s="191">
        <f>БАНК!D9</f>
        <v>0</v>
      </c>
      <c r="D29" s="191">
        <f>БАНК!F9</f>
        <v>0</v>
      </c>
      <c r="E29" s="191">
        <f>БАНК!E9</f>
        <v>0</v>
      </c>
      <c r="F29" s="191">
        <f>БАНК!G9</f>
        <v>0</v>
      </c>
      <c r="G29" s="191">
        <f>БАНК!H9</f>
        <v>0</v>
      </c>
      <c r="H29" s="191">
        <f>БАНК!I9</f>
        <v>0</v>
      </c>
      <c r="I29" s="191">
        <f>БАНК!J9</f>
        <v>0</v>
      </c>
      <c r="J29" s="191">
        <f>БАНК!L9</f>
        <v>0</v>
      </c>
      <c r="K29" s="191">
        <f>БАНК!M9</f>
        <v>0</v>
      </c>
      <c r="L29" s="191">
        <f>БАНК!N9</f>
        <v>0</v>
      </c>
      <c r="M29" s="191">
        <f>БАНК!P9</f>
        <v>0</v>
      </c>
      <c r="N29" s="191">
        <f>БАНК!Q9</f>
        <v>0</v>
      </c>
      <c r="O29" s="191">
        <f>БАНК!S9</f>
        <v>0</v>
      </c>
      <c r="P29" s="191">
        <f>БАНК!T9</f>
        <v>0</v>
      </c>
      <c r="Q29" s="191">
        <f>БАНК!U9</f>
        <v>0</v>
      </c>
      <c r="R29" s="191">
        <f>БАНК!V9</f>
        <v>0</v>
      </c>
      <c r="S29" s="191">
        <f>БАНК!W9</f>
        <v>0</v>
      </c>
      <c r="T29" s="191">
        <f>БАНК!B9</f>
        <v>0</v>
      </c>
      <c r="U29" s="191">
        <f>БАНК!Y9</f>
        <v>0</v>
      </c>
      <c r="V29" s="191">
        <f>БАНК!AA9</f>
        <v>0</v>
      </c>
      <c r="W29" s="191">
        <f>БАНК!AB9+БАНК!AC9</f>
        <v>0</v>
      </c>
      <c r="X29" s="191">
        <f>БАНК!AD9</f>
        <v>0</v>
      </c>
      <c r="Y29" s="191">
        <f>БАНК!O9</f>
        <v>0</v>
      </c>
      <c r="Z29" s="191">
        <f>БАНК!Z9</f>
        <v>0</v>
      </c>
      <c r="AA29" s="191">
        <f>БАНК!X9</f>
        <v>0</v>
      </c>
      <c r="AB29" s="190"/>
      <c r="AC29" s="190"/>
      <c r="AD29" s="174">
        <f>БАНК!AI9</f>
        <v>0</v>
      </c>
      <c r="AE29" s="174"/>
    </row>
    <row r="30" spans="1:31" ht="15" customHeight="1" x14ac:dyDescent="0.3">
      <c r="A30" s="180" t="s">
        <v>175</v>
      </c>
      <c r="B30" s="190">
        <f>Надежда!C30</f>
        <v>0</v>
      </c>
      <c r="C30" s="191">
        <f>Надежда!D30</f>
        <v>0</v>
      </c>
      <c r="D30" s="191">
        <f>Надежда!F30</f>
        <v>0</v>
      </c>
      <c r="E30" s="191">
        <f>Надежда!E30</f>
        <v>0</v>
      </c>
      <c r="F30" s="191">
        <f>Надежда!G30</f>
        <v>0</v>
      </c>
      <c r="G30" s="191">
        <f>Надежда!H30</f>
        <v>0</v>
      </c>
      <c r="H30" s="191">
        <f>Надежда!I30</f>
        <v>0</v>
      </c>
      <c r="I30" s="191">
        <f>Надежда!J30</f>
        <v>0</v>
      </c>
      <c r="J30" s="191">
        <f>Надежда!L30</f>
        <v>0</v>
      </c>
      <c r="K30" s="191">
        <f>Надежда!M30</f>
        <v>0</v>
      </c>
      <c r="L30" s="191">
        <f>Надежда!N30</f>
        <v>0</v>
      </c>
      <c r="M30" s="191">
        <f>Надежда!P30</f>
        <v>0</v>
      </c>
      <c r="N30" s="191">
        <f>Надежда!Q30</f>
        <v>0</v>
      </c>
      <c r="O30" s="191">
        <f>Надежда!S30</f>
        <v>0</v>
      </c>
      <c r="P30" s="191">
        <f>Надежда!T30</f>
        <v>0</v>
      </c>
      <c r="Q30" s="191">
        <f>Надежда!U30</f>
        <v>0</v>
      </c>
      <c r="R30" s="191">
        <f>Надежда!V30</f>
        <v>0</v>
      </c>
      <c r="S30" s="191">
        <f>Надежда!W30</f>
        <v>0</v>
      </c>
      <c r="T30" s="191">
        <f>Надежда!B30</f>
        <v>0</v>
      </c>
      <c r="U30" s="191">
        <f>Надежда!Y30</f>
        <v>0</v>
      </c>
      <c r="V30" s="191">
        <f>Надежда!AA30</f>
        <v>0</v>
      </c>
      <c r="W30" s="191">
        <f>Надежда!AB30+Надежда!AC30</f>
        <v>0</v>
      </c>
      <c r="X30" s="191">
        <f>Надежда!AD30</f>
        <v>0</v>
      </c>
      <c r="Y30" s="191">
        <f>Надежда!O30</f>
        <v>0</v>
      </c>
      <c r="Z30" s="191">
        <f>Надежда!Z30</f>
        <v>0</v>
      </c>
      <c r="AA30" s="191">
        <f>Надежда!X30</f>
        <v>0</v>
      </c>
      <c r="AB30" s="190"/>
      <c r="AC30" s="190"/>
      <c r="AD30" s="174">
        <f>Надежда!AL30</f>
        <v>0</v>
      </c>
      <c r="AE30" s="174"/>
    </row>
    <row r="31" spans="1:31" ht="15" customHeight="1" x14ac:dyDescent="0.3">
      <c r="A31" s="192" t="s">
        <v>193</v>
      </c>
      <c r="B31" s="169">
        <f>Надежда!C31</f>
        <v>0</v>
      </c>
      <c r="C31" s="169">
        <f>Надежда!D31</f>
        <v>0</v>
      </c>
      <c r="D31" s="169">
        <f>Надежда!F31</f>
        <v>0</v>
      </c>
      <c r="E31" s="169">
        <f>Надежда!E31</f>
        <v>0</v>
      </c>
      <c r="F31" s="169">
        <f>Надежда!G31</f>
        <v>0</v>
      </c>
      <c r="G31" s="169">
        <f>Надежда!H31</f>
        <v>0</v>
      </c>
      <c r="H31" s="169">
        <f>Надежда!I31</f>
        <v>0</v>
      </c>
      <c r="I31" s="169">
        <f>Надежда!J31</f>
        <v>0</v>
      </c>
      <c r="J31" s="169">
        <f>Надежда!L31</f>
        <v>0</v>
      </c>
      <c r="K31" s="169">
        <f>Надежда!M31</f>
        <v>0</v>
      </c>
      <c r="L31" s="169">
        <f>Надежда!N31</f>
        <v>0</v>
      </c>
      <c r="M31" s="169">
        <f>Надежда!P31</f>
        <v>0</v>
      </c>
      <c r="N31" s="169">
        <f>Надежда!Q31</f>
        <v>0</v>
      </c>
      <c r="O31" s="169">
        <f>Надежда!S31</f>
        <v>0</v>
      </c>
      <c r="P31" s="169">
        <f>Надежда!T31</f>
        <v>0</v>
      </c>
      <c r="Q31" s="169">
        <f>Надежда!U31</f>
        <v>0</v>
      </c>
      <c r="R31" s="169">
        <f>Надежда!V31</f>
        <v>0</v>
      </c>
      <c r="S31" s="169">
        <f>Надежда!W31</f>
        <v>0</v>
      </c>
      <c r="T31" s="169">
        <f>Надежда!B31</f>
        <v>0</v>
      </c>
      <c r="U31" s="169">
        <f>Надежда!Y31</f>
        <v>0</v>
      </c>
      <c r="V31" s="169">
        <f>Надежда!AA31</f>
        <v>0</v>
      </c>
      <c r="W31" s="169">
        <f>Надежда!AB31+Надежда!AC31</f>
        <v>0</v>
      </c>
      <c r="X31" s="169">
        <f>Надежда!AD31</f>
        <v>0</v>
      </c>
      <c r="Y31" s="169">
        <f>Надежда!O31</f>
        <v>0</v>
      </c>
      <c r="Z31" s="169">
        <f>Надежда!Z31</f>
        <v>0</v>
      </c>
      <c r="AA31" s="169">
        <f>Надежда!X31</f>
        <v>0</v>
      </c>
      <c r="AB31" s="169"/>
      <c r="AC31" s="169"/>
      <c r="AD31" s="169"/>
      <c r="AE31" s="169"/>
    </row>
    <row r="32" spans="1:3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1">
    <mergeCell ref="A2:A4"/>
  </mergeCells>
  <pageMargins left="0" right="0" top="0" bottom="0" header="0" footer="0"/>
  <pageSetup paperSize="9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E9"/>
  <sheetViews>
    <sheetView workbookViewId="0">
      <selection activeCell="C8" sqref="C8"/>
    </sheetView>
  </sheetViews>
  <sheetFormatPr defaultRowHeight="14.4" x14ac:dyDescent="0.3"/>
  <cols>
    <col min="1" max="1" width="20.5546875" customWidth="1"/>
    <col min="2" max="2" width="12.109375" customWidth="1"/>
    <col min="3" max="3" width="15.21875" customWidth="1"/>
    <col min="4" max="4" width="13.44140625" customWidth="1"/>
    <col min="5" max="5" width="12.5546875" customWidth="1"/>
  </cols>
  <sheetData>
    <row r="1" spans="1:5" ht="18" x14ac:dyDescent="0.35">
      <c r="A1" s="210"/>
      <c r="B1" s="210" t="s">
        <v>200</v>
      </c>
      <c r="C1" s="210" t="s">
        <v>1</v>
      </c>
    </row>
    <row r="2" spans="1:5" ht="18" x14ac:dyDescent="0.35">
      <c r="A2" s="210" t="s">
        <v>201</v>
      </c>
      <c r="B2" s="210">
        <v>19.579999999999998</v>
      </c>
      <c r="C2" s="210">
        <v>20.02</v>
      </c>
    </row>
    <row r="3" spans="1:5" ht="18" x14ac:dyDescent="0.35">
      <c r="A3" s="210" t="s">
        <v>202</v>
      </c>
      <c r="B3" s="210">
        <v>21</v>
      </c>
      <c r="C3" s="210">
        <v>21</v>
      </c>
    </row>
    <row r="8" spans="1:5" ht="15.6" x14ac:dyDescent="0.3">
      <c r="A8" s="211"/>
      <c r="B8" s="211" t="s">
        <v>1</v>
      </c>
      <c r="C8" s="211" t="s">
        <v>203</v>
      </c>
      <c r="D8" s="211" t="s">
        <v>204</v>
      </c>
      <c r="E8" s="211" t="s">
        <v>205</v>
      </c>
    </row>
    <row r="9" spans="1:5" ht="15.6" x14ac:dyDescent="0.3">
      <c r="A9" s="211" t="s">
        <v>206</v>
      </c>
      <c r="B9" s="211">
        <v>18</v>
      </c>
      <c r="C9" s="211">
        <v>19</v>
      </c>
      <c r="D9" s="211">
        <v>11</v>
      </c>
      <c r="E9" s="211">
        <v>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Широков</vt:lpstr>
      <vt:lpstr>Агафонов</vt:lpstr>
      <vt:lpstr>Надежда</vt:lpstr>
      <vt:lpstr>Емельянов</vt:lpstr>
      <vt:lpstr>Емельянов В</vt:lpstr>
      <vt:lpstr>Икрамов</vt:lpstr>
      <vt:lpstr>стройки</vt:lpstr>
      <vt:lpstr>Итого</vt:lpstr>
      <vt:lpstr>parcing</vt:lpstr>
      <vt:lpstr>БАНК</vt:lpstr>
      <vt:lpstr>запасн.</vt:lpstr>
      <vt:lpstr>в журнал</vt:lpstr>
      <vt:lpstr>цены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Толга Акар</dc:creator>
  <cp:lastModifiedBy>Tolga</cp:lastModifiedBy>
  <cp:lastPrinted>2020-12-01T08:01:11Z</cp:lastPrinted>
  <dcterms:created xsi:type="dcterms:W3CDTF">2019-12-05T13:02:54Z</dcterms:created>
  <dcterms:modified xsi:type="dcterms:W3CDTF">2020-12-12T18:52:29Z</dcterms:modified>
</cp:coreProperties>
</file>